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/>
  <mc:AlternateContent xmlns:mc="http://schemas.openxmlformats.org/markup-compatibility/2006">
    <mc:Choice Requires="x15">
      <x15ac:absPath xmlns:x15ac="http://schemas.microsoft.com/office/spreadsheetml/2010/11/ac" url="/Users/henaolab/Documents/R/PL_exp/data/"/>
    </mc:Choice>
  </mc:AlternateContent>
  <xr:revisionPtr revIDLastSave="0" documentId="13_ncr:1_{CB22BC74-43FD-EE4B-8053-00E80CBA024D}" xr6:coauthVersionLast="45" xr6:coauthVersionMax="45" xr10:uidLastSave="{00000000-0000-0000-0000-000000000000}"/>
  <bookViews>
    <workbookView xWindow="0" yWindow="460" windowWidth="51200" windowHeight="26740" activeTab="1" xr2:uid="{00000000-000D-0000-FFFF-FFFF00000000}"/>
  </bookViews>
  <sheets>
    <sheet name="metadata" sheetId="7" r:id="rId1"/>
    <sheet name="Raw Counts" sheetId="1" r:id="rId2"/>
    <sheet name="Grey to read" sheetId="2" r:id="rId3"/>
    <sheet name="Select" sheetId="3" r:id="rId4"/>
    <sheet name="Spleen Log Calculation" sheetId="4" r:id="rId5"/>
    <sheet name="Lung Log Calculation" sheetId="5" r:id="rId6"/>
    <sheet name="Import for Analysis" sheetId="6" r:id="rId7"/>
  </sheets>
  <calcPr calcId="191029"/>
</workbook>
</file>

<file path=xl/calcChain.xml><?xml version="1.0" encoding="utf-8"?>
<calcChain xmlns="http://schemas.openxmlformats.org/spreadsheetml/2006/main">
  <c r="E46" i="5" l="1"/>
  <c r="G46" i="5" s="1"/>
  <c r="I46" i="5" s="1"/>
  <c r="E45" i="5"/>
  <c r="G45" i="5" s="1"/>
  <c r="I45" i="5" s="1"/>
  <c r="G44" i="5"/>
  <c r="I44" i="5" s="1"/>
  <c r="E44" i="5"/>
  <c r="G43" i="5"/>
  <c r="I43" i="5" s="1"/>
  <c r="E43" i="5"/>
  <c r="E42" i="5"/>
  <c r="G42" i="5" s="1"/>
  <c r="I42" i="5" s="1"/>
  <c r="G41" i="5"/>
  <c r="H40" i="5" s="1"/>
  <c r="I40" i="5" s="1"/>
  <c r="L22" i="5" s="1"/>
  <c r="E41" i="5"/>
  <c r="G40" i="5"/>
  <c r="E40" i="5"/>
  <c r="E39" i="5"/>
  <c r="G39" i="5" s="1"/>
  <c r="I39" i="5" s="1"/>
  <c r="E38" i="5"/>
  <c r="G38" i="5" s="1"/>
  <c r="I38" i="5" s="1"/>
  <c r="E37" i="5"/>
  <c r="G37" i="5" s="1"/>
  <c r="I37" i="5" s="1"/>
  <c r="L21" i="5" s="1"/>
  <c r="G36" i="5"/>
  <c r="I36" i="5" s="1"/>
  <c r="E36" i="5"/>
  <c r="G35" i="5"/>
  <c r="I35" i="5" s="1"/>
  <c r="E35" i="5"/>
  <c r="E34" i="5"/>
  <c r="G34" i="5" s="1"/>
  <c r="I34" i="5" s="1"/>
  <c r="I33" i="5"/>
  <c r="G33" i="5"/>
  <c r="E33" i="5"/>
  <c r="I32" i="5"/>
  <c r="G32" i="5"/>
  <c r="E32" i="5"/>
  <c r="E31" i="5"/>
  <c r="G31" i="5" s="1"/>
  <c r="I31" i="5" s="1"/>
  <c r="L19" i="5" s="1"/>
  <c r="E30" i="5"/>
  <c r="G30" i="5" s="1"/>
  <c r="I30" i="5" s="1"/>
  <c r="G29" i="5"/>
  <c r="E29" i="5"/>
  <c r="G28" i="5"/>
  <c r="H28" i="5" s="1"/>
  <c r="I28" i="5" s="1"/>
  <c r="E28" i="5"/>
  <c r="G27" i="5"/>
  <c r="I27" i="5" s="1"/>
  <c r="L18" i="5" s="1"/>
  <c r="E27" i="5"/>
  <c r="E26" i="5"/>
  <c r="G26" i="5" s="1"/>
  <c r="I26" i="5" s="1"/>
  <c r="I25" i="5"/>
  <c r="G25" i="5"/>
  <c r="E25" i="5"/>
  <c r="I24" i="5"/>
  <c r="L17" i="5" s="1"/>
  <c r="G24" i="5"/>
  <c r="E24" i="5"/>
  <c r="G23" i="5"/>
  <c r="I23" i="5" s="1"/>
  <c r="E23" i="5"/>
  <c r="I22" i="5"/>
  <c r="G22" i="5"/>
  <c r="E22" i="5"/>
  <c r="E21" i="5"/>
  <c r="G21" i="5" s="1"/>
  <c r="H20" i="5" s="1"/>
  <c r="I20" i="5" s="1"/>
  <c r="G20" i="5"/>
  <c r="E20" i="5"/>
  <c r="G19" i="5"/>
  <c r="I19" i="5" s="1"/>
  <c r="E19" i="5"/>
  <c r="I18" i="5"/>
  <c r="G18" i="5"/>
  <c r="E18" i="5"/>
  <c r="G17" i="5"/>
  <c r="I17" i="5" s="1"/>
  <c r="E17" i="5"/>
  <c r="G16" i="5"/>
  <c r="E16" i="5"/>
  <c r="G15" i="5"/>
  <c r="H15" i="5" s="1"/>
  <c r="I15" i="5" s="1"/>
  <c r="E15" i="5"/>
  <c r="E14" i="5"/>
  <c r="G14" i="5" s="1"/>
  <c r="I14" i="5" s="1"/>
  <c r="E13" i="5"/>
  <c r="G13" i="5" s="1"/>
  <c r="I13" i="5" s="1"/>
  <c r="L14" i="5" s="1"/>
  <c r="E53" i="4"/>
  <c r="G53" i="4" s="1"/>
  <c r="E52" i="4"/>
  <c r="G52" i="4" s="1"/>
  <c r="H52" i="4" s="1"/>
  <c r="I52" i="4" s="1"/>
  <c r="E51" i="4"/>
  <c r="G51" i="4" s="1"/>
  <c r="G50" i="4"/>
  <c r="H50" i="4" s="1"/>
  <c r="I50" i="4" s="1"/>
  <c r="E50" i="4"/>
  <c r="E49" i="4"/>
  <c r="G49" i="4" s="1"/>
  <c r="E48" i="4"/>
  <c r="G48" i="4" s="1"/>
  <c r="H48" i="4" s="1"/>
  <c r="I48" i="4" s="1"/>
  <c r="E47" i="4"/>
  <c r="G47" i="4" s="1"/>
  <c r="I47" i="4" s="1"/>
  <c r="E46" i="4"/>
  <c r="G46" i="4" s="1"/>
  <c r="I46" i="4" s="1"/>
  <c r="E45" i="4"/>
  <c r="G45" i="4" s="1"/>
  <c r="E44" i="4"/>
  <c r="G44" i="4" s="1"/>
  <c r="H44" i="4" s="1"/>
  <c r="I44" i="4" s="1"/>
  <c r="L21" i="4" s="1"/>
  <c r="G43" i="4"/>
  <c r="I43" i="4" s="1"/>
  <c r="E43" i="4"/>
  <c r="G42" i="4"/>
  <c r="I42" i="4" s="1"/>
  <c r="E42" i="4"/>
  <c r="E41" i="4"/>
  <c r="G41" i="4" s="1"/>
  <c r="E40" i="4"/>
  <c r="G40" i="4" s="1"/>
  <c r="H40" i="4" s="1"/>
  <c r="I40" i="4" s="1"/>
  <c r="G39" i="4"/>
  <c r="E39" i="4"/>
  <c r="E38" i="4"/>
  <c r="G38" i="4" s="1"/>
  <c r="H38" i="4" s="1"/>
  <c r="I38" i="4" s="1"/>
  <c r="E37" i="4"/>
  <c r="G37" i="4" s="1"/>
  <c r="I37" i="4" s="1"/>
  <c r="E36" i="4"/>
  <c r="G36" i="4" s="1"/>
  <c r="I36" i="4" s="1"/>
  <c r="G35" i="4"/>
  <c r="I35" i="4" s="1"/>
  <c r="E35" i="4"/>
  <c r="E34" i="4"/>
  <c r="G34" i="4" s="1"/>
  <c r="E33" i="4"/>
  <c r="G33" i="4" s="1"/>
  <c r="H33" i="4" s="1"/>
  <c r="I33" i="4" s="1"/>
  <c r="E32" i="4"/>
  <c r="G32" i="4" s="1"/>
  <c r="I32" i="4" s="1"/>
  <c r="L18" i="4" s="1"/>
  <c r="E31" i="4"/>
  <c r="G31" i="4" s="1"/>
  <c r="I31" i="4" s="1"/>
  <c r="E30" i="4"/>
  <c r="G30" i="4" s="1"/>
  <c r="E29" i="4"/>
  <c r="G29" i="4" s="1"/>
  <c r="H29" i="4" s="1"/>
  <c r="I29" i="4" s="1"/>
  <c r="E28" i="4"/>
  <c r="G28" i="4" s="1"/>
  <c r="G27" i="4"/>
  <c r="H27" i="4" s="1"/>
  <c r="I27" i="4" s="1"/>
  <c r="E27" i="4"/>
  <c r="G26" i="4"/>
  <c r="I26" i="4" s="1"/>
  <c r="E26" i="4"/>
  <c r="E25" i="4"/>
  <c r="G25" i="4" s="1"/>
  <c r="E24" i="4"/>
  <c r="G24" i="4" s="1"/>
  <c r="E23" i="4"/>
  <c r="G23" i="4" s="1"/>
  <c r="I23" i="4" s="1"/>
  <c r="E22" i="4"/>
  <c r="G22" i="4" s="1"/>
  <c r="E21" i="4"/>
  <c r="G21" i="4" s="1"/>
  <c r="H21" i="4" s="1"/>
  <c r="I21" i="4" s="1"/>
  <c r="G20" i="4"/>
  <c r="I20" i="4" s="1"/>
  <c r="E20" i="4"/>
  <c r="E19" i="4"/>
  <c r="G19" i="4" s="1"/>
  <c r="I19" i="4" s="1"/>
  <c r="L15" i="4" s="1"/>
  <c r="G18" i="4"/>
  <c r="I18" i="4" s="1"/>
  <c r="E18" i="4"/>
  <c r="E17" i="4"/>
  <c r="G17" i="4" s="1"/>
  <c r="I17" i="4" s="1"/>
  <c r="G16" i="4"/>
  <c r="I16" i="4" s="1"/>
  <c r="E16" i="4"/>
  <c r="E15" i="4"/>
  <c r="G15" i="4" s="1"/>
  <c r="I15" i="4" s="1"/>
  <c r="G14" i="4"/>
  <c r="I14" i="4" s="1"/>
  <c r="E14" i="4"/>
  <c r="E13" i="4"/>
  <c r="G13" i="4" s="1"/>
  <c r="I13" i="4" s="1"/>
  <c r="L13" i="4" s="1"/>
  <c r="L20" i="4" l="1"/>
  <c r="L15" i="5"/>
  <c r="L17" i="4"/>
  <c r="L22" i="4"/>
  <c r="L19" i="4"/>
  <c r="L20" i="5"/>
  <c r="L23" i="5"/>
  <c r="L16" i="5"/>
  <c r="L14" i="4"/>
  <c r="H24" i="4"/>
  <c r="I24" i="4" s="1"/>
  <c r="L16" i="4" s="1"/>
</calcChain>
</file>

<file path=xl/sharedStrings.xml><?xml version="1.0" encoding="utf-8"?>
<sst xmlns="http://schemas.openxmlformats.org/spreadsheetml/2006/main" count="822" uniqueCount="61">
  <si>
    <t>experiment_name</t>
  </si>
  <si>
    <t>timepoint</t>
  </si>
  <si>
    <t>plating_date</t>
  </si>
  <si>
    <t>count_date</t>
  </si>
  <si>
    <t>dilution_factor</t>
  </si>
  <si>
    <t>lung_percent</t>
  </si>
  <si>
    <t>spleen_percent</t>
  </si>
  <si>
    <t>resuspend_volume_uL</t>
  </si>
  <si>
    <t>volume_plated_uL</t>
  </si>
  <si>
    <t>PL</t>
  </si>
  <si>
    <t>D21</t>
  </si>
  <si>
    <t>group</t>
  </si>
  <si>
    <t>mouse</t>
  </si>
  <si>
    <t>organ</t>
  </si>
  <si>
    <t>dilution_0</t>
  </si>
  <si>
    <t>dilution_1</t>
  </si>
  <si>
    <t>dilution_2</t>
  </si>
  <si>
    <t>dilution_3</t>
  </si>
  <si>
    <t>dilution_4</t>
  </si>
  <si>
    <t>dilution_5</t>
  </si>
  <si>
    <t>dilution_6</t>
  </si>
  <si>
    <t>dilution_7</t>
  </si>
  <si>
    <t>A</t>
  </si>
  <si>
    <t>Spleen</t>
  </si>
  <si>
    <t>TNTC</t>
  </si>
  <si>
    <t>B</t>
  </si>
  <si>
    <t>C</t>
  </si>
  <si>
    <t>highlight</t>
  </si>
  <si>
    <t>betwen 5-50</t>
  </si>
  <si>
    <t>(non inclusive)</t>
  </si>
  <si>
    <t>Lung</t>
  </si>
  <si>
    <t>Experiment:</t>
  </si>
  <si>
    <t>PL D56</t>
  </si>
  <si>
    <t>Necropsy date:</t>
  </si>
  <si>
    <t>Infected with:</t>
  </si>
  <si>
    <t>HN878</t>
  </si>
  <si>
    <t>Plating date:</t>
  </si>
  <si>
    <t>Infection date:</t>
  </si>
  <si>
    <t>Count Date:</t>
  </si>
  <si>
    <t>Animal:</t>
  </si>
  <si>
    <t>mice</t>
  </si>
  <si>
    <t>Who counted:</t>
  </si>
  <si>
    <t>Amy</t>
  </si>
  <si>
    <t>Dilution:</t>
  </si>
  <si>
    <t>Tube Volume</t>
  </si>
  <si>
    <t>Organ:</t>
  </si>
  <si>
    <t>Group 1</t>
  </si>
  <si>
    <t>D60</t>
  </si>
  <si>
    <t>Quad</t>
  </si>
  <si>
    <t>Animal</t>
  </si>
  <si>
    <t>Count</t>
  </si>
  <si>
    <t>Dilution</t>
  </si>
  <si>
    <t>CFU</t>
  </si>
  <si>
    <t>% Organ</t>
  </si>
  <si>
    <t>cfu's whole</t>
  </si>
  <si>
    <t>Average</t>
  </si>
  <si>
    <t>log</t>
  </si>
  <si>
    <t>Group</t>
  </si>
  <si>
    <t>PL D21</t>
  </si>
  <si>
    <t>Number</t>
  </si>
  <si>
    <t>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</si>
</sst>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\-yy"/>
  </numFmts>
  <fonts count="12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FF0000"/>
      <name val="Arial"/>
    </font>
    <font>
      <b/>
      <sz val="11"/>
      <color rgb="FF000000"/>
      <name val="Arial"/>
    </font>
    <font>
      <sz val="12"/>
      <color theme="1"/>
      <name val="Calibri"/>
    </font>
    <font>
      <sz val="11"/>
      <color rgb="FF000000"/>
      <name val="Arial"/>
    </font>
    <font>
      <sz val="10"/>
      <name val="Arial"/>
    </font>
    <font>
      <sz val="12"/>
      <name val="Calibri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0" borderId="0" xfId="0" applyFont="1" applyAlignment="1"/>
    <xf numFmtId="164" fontId="2" fillId="0" borderId="0" xfId="0" applyNumberFormat="1" applyFont="1" applyAlignme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1" fillId="2" borderId="0" xfId="0" applyFont="1" applyFill="1"/>
    <xf numFmtId="0" fontId="3" fillId="2" borderId="0" xfId="0" applyFont="1" applyFill="1" applyAlignment="1"/>
    <xf numFmtId="0" fontId="3" fillId="0" borderId="0" xfId="0" applyFont="1"/>
    <xf numFmtId="0" fontId="4" fillId="0" borderId="0" xfId="0" applyFont="1" applyAlignment="1"/>
    <xf numFmtId="0" fontId="3" fillId="3" borderId="0" xfId="0" applyFont="1" applyFill="1" applyAlignment="1"/>
    <xf numFmtId="0" fontId="2" fillId="3" borderId="0" xfId="0" applyFont="1" applyFill="1" applyAlignment="1"/>
    <xf numFmtId="0" fontId="6" fillId="3" borderId="1" xfId="0" applyFont="1" applyFill="1" applyBorder="1" applyAlignment="1"/>
    <xf numFmtId="0" fontId="6" fillId="3" borderId="2" xfId="0" applyFont="1" applyFill="1" applyBorder="1" applyAlignment="1"/>
    <xf numFmtId="0" fontId="1" fillId="3" borderId="2" xfId="0" applyFont="1" applyFill="1" applyBorder="1" applyAlignment="1"/>
    <xf numFmtId="0" fontId="6" fillId="3" borderId="2" xfId="0" applyFont="1" applyFill="1" applyBorder="1" applyAlignment="1"/>
    <xf numFmtId="14" fontId="1" fillId="3" borderId="2" xfId="0" applyNumberFormat="1" applyFont="1" applyFill="1" applyBorder="1" applyAlignment="1"/>
    <xf numFmtId="0" fontId="1" fillId="0" borderId="0" xfId="0" applyFont="1" applyAlignment="1"/>
    <xf numFmtId="0" fontId="6" fillId="3" borderId="2" xfId="0" applyFont="1" applyFill="1" applyBorder="1" applyAlignment="1"/>
    <xf numFmtId="0" fontId="7" fillId="3" borderId="2" xfId="0" applyFont="1" applyFill="1" applyBorder="1" applyAlignment="1"/>
    <xf numFmtId="14" fontId="1" fillId="3" borderId="2" xfId="0" applyNumberFormat="1" applyFont="1" applyFill="1" applyBorder="1" applyAlignment="1"/>
    <xf numFmtId="0" fontId="8" fillId="3" borderId="2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1" fillId="0" borderId="2" xfId="0" applyFont="1" applyBorder="1" applyAlignme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/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1" fontId="8" fillId="4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1" fontId="8" fillId="4" borderId="2" xfId="0" applyNumberFormat="1" applyFont="1" applyFill="1" applyBorder="1" applyAlignment="1">
      <alignment horizontal="center"/>
    </xf>
    <xf numFmtId="0" fontId="1" fillId="4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1" fontId="8" fillId="5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1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11" fontId="1" fillId="4" borderId="0" xfId="0" applyNumberFormat="1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1" fontId="1" fillId="0" borderId="0" xfId="0" applyNumberFormat="1" applyFont="1"/>
    <xf numFmtId="11" fontId="1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1" fontId="1" fillId="4" borderId="0" xfId="0" applyNumberFormat="1" applyFont="1" applyFill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/>
    <xf numFmtId="0" fontId="11" fillId="0" borderId="0" xfId="0" applyFont="1" applyAlignment="1"/>
    <xf numFmtId="0" fontId="11" fillId="0" borderId="0" xfId="0" applyFont="1"/>
    <xf numFmtId="0" fontId="1" fillId="4" borderId="0" xfId="0" applyFont="1" applyFill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34FD-573F-FA44-B5AD-08282CFBDB96}">
  <dimension ref="A1:I2"/>
  <sheetViews>
    <sheetView workbookViewId="0">
      <selection sqref="A1:I2"/>
    </sheetView>
  </sheetViews>
  <sheetFormatPr baseColWidth="10" defaultRowHeight="13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2">
        <v>43956</v>
      </c>
      <c r="D2" s="2">
        <v>44001</v>
      </c>
      <c r="E2" s="1">
        <v>5</v>
      </c>
      <c r="F2" s="1">
        <v>0.33300000000000002</v>
      </c>
      <c r="G2" s="1">
        <v>0.5</v>
      </c>
      <c r="H2" s="1">
        <v>500</v>
      </c>
      <c r="I2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1"/>
  <sheetViews>
    <sheetView tabSelected="1" workbookViewId="0">
      <selection activeCell="O20" sqref="O20"/>
    </sheetView>
  </sheetViews>
  <sheetFormatPr baseColWidth="10" defaultColWidth="14.5" defaultRowHeight="15.75" customHeight="1"/>
  <sheetData>
    <row r="1" spans="1:16" ht="15.75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6" ht="15.75" customHeight="1">
      <c r="A2" s="1">
        <v>1</v>
      </c>
      <c r="B2" s="1" t="s">
        <v>22</v>
      </c>
      <c r="C2" s="1" t="s">
        <v>23</v>
      </c>
      <c r="E2" s="3" t="s">
        <v>24</v>
      </c>
      <c r="F2" s="3" t="s">
        <v>24</v>
      </c>
      <c r="G2" s="3">
        <v>16</v>
      </c>
      <c r="H2" s="3">
        <v>1</v>
      </c>
      <c r="I2" s="4"/>
      <c r="J2" s="4"/>
      <c r="K2" s="4"/>
    </row>
    <row r="3" spans="1:16" ht="15.75" customHeight="1">
      <c r="A3" s="1">
        <v>1</v>
      </c>
      <c r="B3" s="1" t="s">
        <v>25</v>
      </c>
      <c r="C3" s="1" t="s">
        <v>23</v>
      </c>
      <c r="E3" s="3" t="s">
        <v>24</v>
      </c>
      <c r="F3" s="3">
        <v>25</v>
      </c>
      <c r="G3" s="3">
        <v>2</v>
      </c>
      <c r="H3" s="3">
        <v>0</v>
      </c>
      <c r="I3" s="4"/>
      <c r="J3" s="4"/>
      <c r="K3" s="4"/>
    </row>
    <row r="4" spans="1:16" ht="15.75" customHeight="1">
      <c r="A4" s="1">
        <v>1</v>
      </c>
      <c r="B4" s="1" t="s">
        <v>26</v>
      </c>
      <c r="C4" s="1" t="s">
        <v>23</v>
      </c>
      <c r="E4" s="3" t="s">
        <v>24</v>
      </c>
      <c r="F4" s="3" t="s">
        <v>24</v>
      </c>
      <c r="G4" s="3">
        <v>24</v>
      </c>
      <c r="H4" s="3">
        <v>3</v>
      </c>
      <c r="I4" s="4"/>
      <c r="J4" s="4"/>
      <c r="K4" s="4"/>
    </row>
    <row r="5" spans="1:16" ht="15.75" customHeight="1">
      <c r="A5" s="1">
        <v>2</v>
      </c>
      <c r="B5" s="1" t="s">
        <v>22</v>
      </c>
      <c r="C5" s="1" t="s">
        <v>23</v>
      </c>
      <c r="E5" s="3" t="s">
        <v>24</v>
      </c>
      <c r="F5" s="3">
        <v>33</v>
      </c>
      <c r="G5" s="3">
        <v>5</v>
      </c>
      <c r="H5" s="3">
        <v>2</v>
      </c>
      <c r="I5" s="4"/>
      <c r="J5" s="4"/>
      <c r="K5" s="4"/>
    </row>
    <row r="6" spans="1:16" ht="15.75" customHeight="1">
      <c r="A6" s="1">
        <v>2</v>
      </c>
      <c r="B6" s="1" t="s">
        <v>25</v>
      </c>
      <c r="C6" s="1" t="s">
        <v>23</v>
      </c>
      <c r="E6" s="3">
        <v>67</v>
      </c>
      <c r="F6" s="3">
        <v>17</v>
      </c>
      <c r="G6" s="3">
        <v>3</v>
      </c>
      <c r="H6" s="3">
        <v>0</v>
      </c>
      <c r="I6" s="4"/>
      <c r="J6" s="4"/>
      <c r="K6" s="4"/>
    </row>
    <row r="7" spans="1:16" ht="15.75" customHeight="1">
      <c r="A7" s="1">
        <v>2</v>
      </c>
      <c r="B7" s="1" t="s">
        <v>26</v>
      </c>
      <c r="C7" s="1" t="s">
        <v>23</v>
      </c>
      <c r="E7" s="3" t="s">
        <v>24</v>
      </c>
      <c r="F7" s="3" t="s">
        <v>24</v>
      </c>
      <c r="G7" s="3">
        <v>12</v>
      </c>
      <c r="H7" s="3">
        <v>1</v>
      </c>
      <c r="I7" s="4"/>
      <c r="J7" s="4"/>
      <c r="K7" s="4"/>
      <c r="N7" s="1"/>
      <c r="O7" s="1"/>
      <c r="P7" s="1"/>
    </row>
    <row r="8" spans="1:16" ht="15.75" customHeight="1">
      <c r="A8" s="1">
        <v>3</v>
      </c>
      <c r="B8" s="1" t="s">
        <v>22</v>
      </c>
      <c r="C8" s="1" t="s">
        <v>23</v>
      </c>
      <c r="E8" s="3">
        <v>43</v>
      </c>
      <c r="F8" s="3">
        <v>5</v>
      </c>
      <c r="G8" s="3">
        <v>2</v>
      </c>
      <c r="H8" s="3">
        <v>1</v>
      </c>
      <c r="I8" s="4"/>
      <c r="J8" s="4"/>
      <c r="K8" s="4"/>
    </row>
    <row r="9" spans="1:16" ht="15.75" customHeight="1">
      <c r="A9" s="1">
        <v>3</v>
      </c>
      <c r="B9" s="1" t="s">
        <v>25</v>
      </c>
      <c r="C9" s="1" t="s">
        <v>23</v>
      </c>
      <c r="E9" s="3" t="s">
        <v>24</v>
      </c>
      <c r="F9" s="3">
        <v>21</v>
      </c>
      <c r="G9" s="3">
        <v>3</v>
      </c>
      <c r="H9" s="3">
        <v>0</v>
      </c>
      <c r="I9" s="4"/>
      <c r="J9" s="4"/>
      <c r="K9" s="4"/>
    </row>
    <row r="10" spans="1:16" ht="15.75" customHeight="1">
      <c r="A10" s="1">
        <v>3</v>
      </c>
      <c r="B10" s="1" t="s">
        <v>26</v>
      </c>
      <c r="C10" s="1" t="s">
        <v>23</v>
      </c>
      <c r="E10" s="3" t="s">
        <v>24</v>
      </c>
      <c r="F10" s="3" t="s">
        <v>24</v>
      </c>
      <c r="G10" s="3">
        <v>31</v>
      </c>
      <c r="H10" s="3">
        <v>9</v>
      </c>
      <c r="I10" s="4"/>
      <c r="J10" s="4"/>
      <c r="K10" s="4"/>
    </row>
    <row r="11" spans="1:16" ht="15.75" customHeight="1">
      <c r="A11" s="1">
        <v>4</v>
      </c>
      <c r="B11" s="1" t="s">
        <v>22</v>
      </c>
      <c r="C11" s="1" t="s">
        <v>23</v>
      </c>
      <c r="E11" s="3" t="s">
        <v>24</v>
      </c>
      <c r="F11" s="3">
        <v>51</v>
      </c>
      <c r="G11" s="3">
        <v>6</v>
      </c>
      <c r="H11" s="3">
        <v>0</v>
      </c>
      <c r="I11" s="4"/>
      <c r="J11" s="4"/>
      <c r="K11" s="4"/>
    </row>
    <row r="12" spans="1:16" ht="15.75" customHeight="1">
      <c r="A12" s="1">
        <v>4</v>
      </c>
      <c r="B12" s="1" t="s">
        <v>25</v>
      </c>
      <c r="C12" s="1" t="s">
        <v>23</v>
      </c>
      <c r="E12" s="3">
        <v>30</v>
      </c>
      <c r="F12" s="3">
        <v>8</v>
      </c>
      <c r="G12" s="3">
        <v>1</v>
      </c>
      <c r="H12" s="3">
        <v>0</v>
      </c>
      <c r="I12" s="4"/>
      <c r="J12" s="4"/>
      <c r="K12" s="4"/>
    </row>
    <row r="13" spans="1:16" ht="15.75" customHeight="1">
      <c r="A13" s="1">
        <v>4</v>
      </c>
      <c r="B13" s="1" t="s">
        <v>26</v>
      </c>
      <c r="C13" s="1" t="s">
        <v>23</v>
      </c>
      <c r="E13" s="3" t="s">
        <v>24</v>
      </c>
      <c r="F13" s="3">
        <v>73</v>
      </c>
      <c r="G13" s="3">
        <v>15</v>
      </c>
      <c r="H13" s="3">
        <v>1</v>
      </c>
      <c r="I13" s="4"/>
      <c r="J13" s="4"/>
      <c r="K13" s="4"/>
    </row>
    <row r="14" spans="1:16" ht="15.75" customHeight="1">
      <c r="A14" s="1">
        <v>5</v>
      </c>
      <c r="B14" s="1" t="s">
        <v>22</v>
      </c>
      <c r="C14" s="1" t="s">
        <v>23</v>
      </c>
      <c r="E14" s="3">
        <v>21</v>
      </c>
      <c r="F14" s="3">
        <v>6</v>
      </c>
      <c r="G14" s="3">
        <v>0</v>
      </c>
      <c r="H14" s="3">
        <v>0</v>
      </c>
      <c r="I14" s="4"/>
      <c r="J14" s="4"/>
      <c r="K14" s="4"/>
    </row>
    <row r="15" spans="1:16" ht="15.75" customHeight="1">
      <c r="A15" s="1">
        <v>5</v>
      </c>
      <c r="B15" s="1" t="s">
        <v>25</v>
      </c>
      <c r="C15" s="1" t="s">
        <v>23</v>
      </c>
      <c r="E15" s="3">
        <v>35</v>
      </c>
      <c r="F15" s="3">
        <v>15</v>
      </c>
      <c r="G15" s="3">
        <v>2</v>
      </c>
      <c r="H15" s="3">
        <v>1</v>
      </c>
      <c r="I15" s="4"/>
      <c r="J15" s="4"/>
      <c r="K15" s="4"/>
    </row>
    <row r="16" spans="1:16" ht="15.75" customHeight="1">
      <c r="A16" s="1">
        <v>5</v>
      </c>
      <c r="B16" s="1" t="s">
        <v>26</v>
      </c>
      <c r="C16" s="1" t="s">
        <v>23</v>
      </c>
      <c r="E16" s="3" t="s">
        <v>24</v>
      </c>
      <c r="F16" s="3">
        <v>90</v>
      </c>
      <c r="G16" s="3">
        <v>14</v>
      </c>
      <c r="H16" s="3">
        <v>1</v>
      </c>
      <c r="I16" s="4"/>
      <c r="J16" s="4"/>
      <c r="K16" s="4"/>
    </row>
    <row r="17" spans="1:11" ht="15.75" customHeight="1">
      <c r="A17" s="1">
        <v>6</v>
      </c>
      <c r="B17" s="1" t="s">
        <v>22</v>
      </c>
      <c r="C17" s="1" t="s">
        <v>23</v>
      </c>
      <c r="E17" s="3" t="s">
        <v>24</v>
      </c>
      <c r="F17" s="3" t="s">
        <v>24</v>
      </c>
      <c r="G17" s="3">
        <v>38</v>
      </c>
      <c r="H17" s="3">
        <v>0</v>
      </c>
      <c r="I17" s="4"/>
      <c r="J17" s="4"/>
      <c r="K17" s="4"/>
    </row>
    <row r="18" spans="1:11" ht="15.75" customHeight="1">
      <c r="A18" s="1">
        <v>6</v>
      </c>
      <c r="B18" s="1" t="s">
        <v>25</v>
      </c>
      <c r="C18" s="1" t="s">
        <v>23</v>
      </c>
      <c r="E18" s="3" t="s">
        <v>24</v>
      </c>
      <c r="F18" s="3" t="s">
        <v>24</v>
      </c>
      <c r="G18" s="3">
        <v>34</v>
      </c>
      <c r="H18" s="3">
        <v>6</v>
      </c>
      <c r="I18" s="4"/>
      <c r="J18" s="4"/>
      <c r="K18" s="4"/>
    </row>
    <row r="19" spans="1:11" ht="15.75" customHeight="1">
      <c r="A19" s="1">
        <v>6</v>
      </c>
      <c r="B19" s="1" t="s">
        <v>26</v>
      </c>
      <c r="C19" s="1" t="s">
        <v>23</v>
      </c>
      <c r="E19" s="3" t="s">
        <v>24</v>
      </c>
      <c r="F19" s="3" t="s">
        <v>24</v>
      </c>
      <c r="G19" s="3">
        <v>27</v>
      </c>
      <c r="H19" s="3">
        <v>0</v>
      </c>
      <c r="I19" s="4"/>
      <c r="J19" s="4"/>
      <c r="K19" s="4"/>
    </row>
    <row r="20" spans="1:11" ht="15.75" customHeight="1">
      <c r="A20" s="1">
        <v>7</v>
      </c>
      <c r="B20" s="1" t="s">
        <v>22</v>
      </c>
      <c r="C20" s="1" t="s">
        <v>23</v>
      </c>
      <c r="E20" s="3">
        <v>67</v>
      </c>
      <c r="F20" s="3">
        <v>8</v>
      </c>
      <c r="G20" s="3">
        <v>1</v>
      </c>
      <c r="H20" s="3">
        <v>0</v>
      </c>
      <c r="I20" s="4"/>
      <c r="J20" s="4"/>
      <c r="K20" s="4"/>
    </row>
    <row r="21" spans="1:11" ht="15.75" customHeight="1">
      <c r="A21" s="1">
        <v>7</v>
      </c>
      <c r="B21" s="1" t="s">
        <v>25</v>
      </c>
      <c r="C21" s="1" t="s">
        <v>23</v>
      </c>
      <c r="E21" s="3">
        <v>12</v>
      </c>
      <c r="F21" s="3">
        <v>0</v>
      </c>
      <c r="G21" s="3">
        <v>1</v>
      </c>
      <c r="H21" s="3">
        <v>0</v>
      </c>
      <c r="I21" s="4"/>
      <c r="J21" s="4"/>
      <c r="K21" s="4"/>
    </row>
    <row r="22" spans="1:11" ht="15.75" customHeight="1">
      <c r="A22" s="1">
        <v>7</v>
      </c>
      <c r="B22" s="1" t="s">
        <v>26</v>
      </c>
      <c r="C22" s="1" t="s">
        <v>23</v>
      </c>
      <c r="E22" s="3" t="s">
        <v>24</v>
      </c>
      <c r="F22" s="3" t="s">
        <v>24</v>
      </c>
      <c r="G22" s="3">
        <v>43</v>
      </c>
      <c r="H22" s="3">
        <v>8</v>
      </c>
      <c r="I22" s="4"/>
      <c r="J22" s="4"/>
      <c r="K22" s="4"/>
    </row>
    <row r="23" spans="1:11" ht="15.75" customHeight="1">
      <c r="A23" s="1">
        <v>8</v>
      </c>
      <c r="B23" s="1" t="s">
        <v>22</v>
      </c>
      <c r="C23" s="1" t="s">
        <v>23</v>
      </c>
      <c r="D23" s="5"/>
      <c r="E23" s="3">
        <v>42</v>
      </c>
      <c r="F23" s="3">
        <v>8</v>
      </c>
      <c r="G23" s="3">
        <v>2</v>
      </c>
      <c r="H23" s="3">
        <v>1</v>
      </c>
      <c r="I23" s="4"/>
      <c r="J23" s="4"/>
      <c r="K23" s="4"/>
    </row>
    <row r="24" spans="1:11" ht="15.75" customHeight="1">
      <c r="A24" s="1">
        <v>8</v>
      </c>
      <c r="B24" s="1" t="s">
        <v>25</v>
      </c>
      <c r="C24" s="1" t="s">
        <v>23</v>
      </c>
      <c r="E24" s="3" t="s">
        <v>24</v>
      </c>
      <c r="F24" s="3">
        <v>60</v>
      </c>
      <c r="G24" s="3">
        <v>8</v>
      </c>
      <c r="H24" s="3">
        <v>0</v>
      </c>
      <c r="I24" s="4"/>
      <c r="J24" s="4"/>
      <c r="K24" s="4"/>
    </row>
    <row r="25" spans="1:11" ht="15.75" customHeight="1">
      <c r="A25" s="1">
        <v>8</v>
      </c>
      <c r="B25" s="1" t="s">
        <v>26</v>
      </c>
      <c r="C25" s="1" t="s">
        <v>23</v>
      </c>
      <c r="E25" s="3" t="s">
        <v>24</v>
      </c>
      <c r="F25" s="3">
        <v>92</v>
      </c>
      <c r="G25" s="3">
        <v>25</v>
      </c>
      <c r="H25" s="3">
        <v>0</v>
      </c>
      <c r="I25" s="4"/>
      <c r="J25" s="4"/>
      <c r="K25" s="4"/>
    </row>
    <row r="26" spans="1:11" ht="15.75" customHeight="1">
      <c r="A26" s="1">
        <v>9</v>
      </c>
      <c r="B26" s="1" t="s">
        <v>22</v>
      </c>
      <c r="C26" s="1" t="s">
        <v>23</v>
      </c>
      <c r="E26" s="3">
        <v>38</v>
      </c>
      <c r="F26" s="3">
        <v>10</v>
      </c>
      <c r="G26" s="3">
        <v>0</v>
      </c>
      <c r="H26" s="3">
        <v>0</v>
      </c>
      <c r="I26" s="4"/>
      <c r="J26" s="4"/>
      <c r="K26" s="4"/>
    </row>
    <row r="27" spans="1:11" ht="15.75" customHeight="1">
      <c r="A27" s="1">
        <v>9</v>
      </c>
      <c r="B27" s="1" t="s">
        <v>25</v>
      </c>
      <c r="C27" s="1" t="s">
        <v>23</v>
      </c>
      <c r="E27" s="3">
        <v>50</v>
      </c>
      <c r="F27" s="3">
        <v>14</v>
      </c>
      <c r="G27" s="3">
        <v>1</v>
      </c>
      <c r="H27" s="3">
        <v>1</v>
      </c>
      <c r="I27" s="4"/>
      <c r="J27" s="4"/>
      <c r="K27" s="4"/>
    </row>
    <row r="28" spans="1:11" ht="15.75" customHeight="1">
      <c r="A28" s="1">
        <v>9</v>
      </c>
      <c r="B28" s="1" t="s">
        <v>26</v>
      </c>
      <c r="C28" s="1" t="s">
        <v>23</v>
      </c>
      <c r="E28" s="3" t="s">
        <v>24</v>
      </c>
      <c r="F28" s="3">
        <v>63</v>
      </c>
      <c r="G28" s="3">
        <v>13</v>
      </c>
      <c r="H28" s="3">
        <v>0</v>
      </c>
      <c r="I28" s="4"/>
      <c r="J28" s="4"/>
      <c r="K28" s="4"/>
    </row>
    <row r="29" spans="1:11" ht="15.75" customHeight="1">
      <c r="A29" s="1">
        <v>10</v>
      </c>
      <c r="B29" s="1" t="s">
        <v>22</v>
      </c>
      <c r="C29" s="1" t="s">
        <v>23</v>
      </c>
      <c r="D29" s="5"/>
      <c r="E29" s="3" t="s">
        <v>24</v>
      </c>
      <c r="F29" s="3">
        <v>41</v>
      </c>
      <c r="G29" s="3">
        <v>9</v>
      </c>
      <c r="H29" s="3">
        <v>1</v>
      </c>
      <c r="I29" s="4"/>
      <c r="J29" s="4"/>
      <c r="K29" s="4"/>
    </row>
    <row r="30" spans="1:11" ht="15.75" customHeight="1">
      <c r="A30" s="1">
        <v>10</v>
      </c>
      <c r="B30" s="1" t="s">
        <v>25</v>
      </c>
      <c r="C30" s="1" t="s">
        <v>23</v>
      </c>
      <c r="E30" s="3" t="s">
        <v>24</v>
      </c>
      <c r="F30" s="3">
        <v>37</v>
      </c>
      <c r="G30" s="3">
        <v>12</v>
      </c>
      <c r="H30" s="3">
        <v>3</v>
      </c>
      <c r="I30" s="4"/>
      <c r="J30" s="4"/>
      <c r="K30" s="4"/>
    </row>
    <row r="31" spans="1:11" ht="15.75" customHeight="1">
      <c r="A31" s="1">
        <v>10</v>
      </c>
      <c r="B31" s="1" t="s">
        <v>26</v>
      </c>
      <c r="C31" s="1" t="s">
        <v>23</v>
      </c>
      <c r="E31" s="3" t="s">
        <v>24</v>
      </c>
      <c r="F31" s="3" t="s">
        <v>24</v>
      </c>
      <c r="G31" s="3">
        <v>26</v>
      </c>
      <c r="H31" s="3">
        <v>8</v>
      </c>
      <c r="I31" s="4"/>
      <c r="J31" s="4"/>
      <c r="K31" s="4"/>
    </row>
    <row r="32" spans="1:11" ht="15.75" customHeight="1">
      <c r="A32" s="1">
        <v>1</v>
      </c>
      <c r="B32" s="1" t="s">
        <v>22</v>
      </c>
      <c r="C32" s="1" t="s">
        <v>30</v>
      </c>
      <c r="F32" s="1" t="s">
        <v>24</v>
      </c>
      <c r="G32" s="1">
        <v>16</v>
      </c>
      <c r="H32" s="1">
        <v>0</v>
      </c>
      <c r="I32" s="1">
        <v>0</v>
      </c>
      <c r="J32" s="1">
        <v>0</v>
      </c>
      <c r="K32" s="1">
        <v>0</v>
      </c>
    </row>
    <row r="33" spans="1:11" ht="15.75" customHeight="1">
      <c r="A33" s="1">
        <v>1</v>
      </c>
      <c r="B33" s="1" t="s">
        <v>25</v>
      </c>
      <c r="C33" s="1" t="s">
        <v>30</v>
      </c>
      <c r="F33" s="1" t="s">
        <v>24</v>
      </c>
      <c r="G33" s="1">
        <v>15</v>
      </c>
      <c r="H33" s="1">
        <v>2</v>
      </c>
      <c r="I33" s="1">
        <v>0</v>
      </c>
      <c r="J33" s="1">
        <v>0</v>
      </c>
      <c r="K33" s="1">
        <v>0</v>
      </c>
    </row>
    <row r="34" spans="1:11" ht="15.75" customHeight="1">
      <c r="A34" s="1">
        <v>1</v>
      </c>
      <c r="B34" s="1" t="s">
        <v>26</v>
      </c>
      <c r="C34" s="1" t="s">
        <v>30</v>
      </c>
      <c r="F34" s="1" t="s">
        <v>24</v>
      </c>
      <c r="G34" s="1">
        <v>23</v>
      </c>
      <c r="H34" s="1">
        <v>6</v>
      </c>
      <c r="I34" s="1">
        <v>0</v>
      </c>
      <c r="J34" s="1">
        <v>0</v>
      </c>
      <c r="K34" s="1">
        <v>0</v>
      </c>
    </row>
    <row r="35" spans="1:11" ht="15.75" customHeight="1">
      <c r="A35" s="1">
        <v>2</v>
      </c>
      <c r="B35" s="1" t="s">
        <v>22</v>
      </c>
      <c r="C35" s="1" t="s">
        <v>30</v>
      </c>
      <c r="F35" s="1" t="s">
        <v>24</v>
      </c>
      <c r="G35" s="1">
        <v>11</v>
      </c>
      <c r="H35" s="1">
        <v>2</v>
      </c>
      <c r="I35" s="1">
        <v>0</v>
      </c>
      <c r="J35" s="1">
        <v>0</v>
      </c>
      <c r="K35" s="1">
        <v>0</v>
      </c>
    </row>
    <row r="36" spans="1:11" ht="15.75" customHeight="1">
      <c r="A36" s="1">
        <v>2</v>
      </c>
      <c r="B36" s="1" t="s">
        <v>25</v>
      </c>
      <c r="C36" s="1" t="s">
        <v>30</v>
      </c>
      <c r="F36" s="1">
        <v>130</v>
      </c>
      <c r="G36" s="1">
        <v>6</v>
      </c>
      <c r="H36" s="1">
        <v>1</v>
      </c>
      <c r="I36" s="1">
        <v>0</v>
      </c>
      <c r="J36" s="1">
        <v>0</v>
      </c>
      <c r="K36" s="1">
        <v>0</v>
      </c>
    </row>
    <row r="37" spans="1:11" ht="15.75" customHeight="1">
      <c r="A37" s="1">
        <v>2</v>
      </c>
      <c r="B37" s="1" t="s">
        <v>26</v>
      </c>
      <c r="C37" s="1" t="s">
        <v>30</v>
      </c>
      <c r="F37" s="1">
        <v>54</v>
      </c>
      <c r="G37" s="1">
        <v>5</v>
      </c>
      <c r="H37" s="1">
        <v>1</v>
      </c>
      <c r="I37" s="1">
        <v>0</v>
      </c>
      <c r="J37" s="1">
        <v>0</v>
      </c>
      <c r="K37" s="1">
        <v>0</v>
      </c>
    </row>
    <row r="38" spans="1:11" ht="15.75" customHeight="1">
      <c r="A38" s="1">
        <v>3</v>
      </c>
      <c r="B38" s="1" t="s">
        <v>22</v>
      </c>
      <c r="C38" s="1" t="s">
        <v>30</v>
      </c>
      <c r="F38" s="1">
        <v>35</v>
      </c>
      <c r="G38" s="1">
        <v>6</v>
      </c>
      <c r="H38" s="1">
        <v>1</v>
      </c>
      <c r="I38" s="1">
        <v>0</v>
      </c>
      <c r="J38" s="1">
        <v>0</v>
      </c>
      <c r="K38" s="1">
        <v>0</v>
      </c>
    </row>
    <row r="39" spans="1:11" ht="15.75" customHeight="1">
      <c r="A39" s="1">
        <v>3</v>
      </c>
      <c r="B39" s="1" t="s">
        <v>25</v>
      </c>
      <c r="C39" s="1" t="s">
        <v>30</v>
      </c>
      <c r="F39" s="1">
        <v>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ht="15.75" customHeight="1">
      <c r="A40" s="1">
        <v>3</v>
      </c>
      <c r="B40" s="1" t="s">
        <v>26</v>
      </c>
      <c r="C40" s="1" t="s">
        <v>30</v>
      </c>
      <c r="F40" s="1" t="s">
        <v>24</v>
      </c>
      <c r="G40" s="1">
        <v>49</v>
      </c>
      <c r="H40" s="1">
        <v>0</v>
      </c>
      <c r="I40" s="1">
        <v>1</v>
      </c>
      <c r="J40" s="1">
        <v>0</v>
      </c>
      <c r="K40" s="1">
        <v>0</v>
      </c>
    </row>
    <row r="41" spans="1:11" ht="15.75" customHeight="1">
      <c r="A41" s="1">
        <v>4</v>
      </c>
      <c r="B41" s="1" t="s">
        <v>22</v>
      </c>
      <c r="C41" s="1" t="s">
        <v>30</v>
      </c>
      <c r="F41" s="1" t="s">
        <v>24</v>
      </c>
      <c r="G41" s="1">
        <v>12</v>
      </c>
      <c r="H41" s="1">
        <v>2</v>
      </c>
      <c r="I41" s="1">
        <v>0</v>
      </c>
      <c r="J41" s="1">
        <v>0</v>
      </c>
      <c r="K41" s="1">
        <v>0</v>
      </c>
    </row>
    <row r="42" spans="1:11" ht="15.75" customHeight="1">
      <c r="A42" s="1">
        <v>4</v>
      </c>
      <c r="B42" s="1" t="s">
        <v>25</v>
      </c>
      <c r="C42" s="1" t="s">
        <v>30</v>
      </c>
      <c r="F42" s="1" t="s">
        <v>24</v>
      </c>
      <c r="G42" s="1">
        <v>43</v>
      </c>
      <c r="H42" s="1">
        <v>0</v>
      </c>
      <c r="I42" s="1">
        <v>0</v>
      </c>
      <c r="J42" s="1">
        <v>0</v>
      </c>
      <c r="K42" s="1">
        <v>0</v>
      </c>
    </row>
    <row r="43" spans="1:11" ht="15.75" customHeight="1">
      <c r="A43" s="1">
        <v>4</v>
      </c>
      <c r="B43" s="1" t="s">
        <v>26</v>
      </c>
      <c r="C43" s="1" t="s">
        <v>30</v>
      </c>
      <c r="F43" s="1" t="s">
        <v>24</v>
      </c>
      <c r="G43" s="1">
        <v>51</v>
      </c>
      <c r="H43" s="1">
        <v>0</v>
      </c>
      <c r="I43" s="1">
        <v>0</v>
      </c>
      <c r="J43" s="1">
        <v>0</v>
      </c>
      <c r="K43" s="1">
        <v>0</v>
      </c>
    </row>
    <row r="44" spans="1:11" ht="15.75" customHeight="1">
      <c r="A44" s="1">
        <v>5</v>
      </c>
      <c r="B44" s="1" t="s">
        <v>22</v>
      </c>
      <c r="C44" s="1" t="s">
        <v>30</v>
      </c>
      <c r="F44" s="1" t="s">
        <v>24</v>
      </c>
      <c r="G44" s="1">
        <v>19</v>
      </c>
      <c r="H44" s="1">
        <v>1</v>
      </c>
      <c r="I44" s="1">
        <v>0</v>
      </c>
      <c r="J44" s="1">
        <v>0</v>
      </c>
      <c r="K44" s="1">
        <v>0</v>
      </c>
    </row>
    <row r="45" spans="1:11" ht="15.75" customHeight="1">
      <c r="A45" s="1">
        <v>5</v>
      </c>
      <c r="B45" s="1" t="s">
        <v>25</v>
      </c>
      <c r="C45" s="1" t="s">
        <v>30</v>
      </c>
      <c r="F45" s="1" t="s">
        <v>24</v>
      </c>
      <c r="G45" s="1">
        <v>38</v>
      </c>
      <c r="H45" s="1">
        <v>9</v>
      </c>
      <c r="I45" s="1">
        <v>0</v>
      </c>
      <c r="J45" s="1">
        <v>0</v>
      </c>
      <c r="K45" s="1">
        <v>0</v>
      </c>
    </row>
    <row r="46" spans="1:11" ht="15.75" customHeight="1">
      <c r="A46" s="1">
        <v>5</v>
      </c>
      <c r="B46" s="1" t="s">
        <v>26</v>
      </c>
      <c r="C46" s="1" t="s">
        <v>30</v>
      </c>
      <c r="F46" s="1">
        <v>41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</row>
    <row r="47" spans="1:11" ht="15.75" customHeight="1">
      <c r="A47" s="1">
        <v>6</v>
      </c>
      <c r="B47" s="1" t="s">
        <v>22</v>
      </c>
      <c r="C47" s="1" t="s">
        <v>30</v>
      </c>
      <c r="F47" s="1" t="s">
        <v>24</v>
      </c>
      <c r="G47" s="1">
        <v>74</v>
      </c>
      <c r="H47" s="1">
        <v>13</v>
      </c>
      <c r="I47" s="1">
        <v>2</v>
      </c>
      <c r="J47" s="1">
        <v>1</v>
      </c>
      <c r="K47" s="6">
        <v>0</v>
      </c>
    </row>
    <row r="48" spans="1:11" ht="15.75" customHeight="1">
      <c r="A48" s="1">
        <v>6</v>
      </c>
      <c r="B48" s="1" t="s">
        <v>25</v>
      </c>
      <c r="C48" s="1" t="s">
        <v>30</v>
      </c>
      <c r="F48" s="1" t="s">
        <v>24</v>
      </c>
      <c r="G48" s="1">
        <v>64</v>
      </c>
      <c r="H48" s="1">
        <v>6</v>
      </c>
      <c r="I48" s="1">
        <v>0</v>
      </c>
      <c r="J48" s="1">
        <v>0</v>
      </c>
      <c r="K48" s="1">
        <v>0</v>
      </c>
    </row>
    <row r="49" spans="1:11" ht="15.75" customHeight="1">
      <c r="A49" s="1">
        <v>6</v>
      </c>
      <c r="B49" s="1" t="s">
        <v>26</v>
      </c>
      <c r="C49" s="1" t="s">
        <v>30</v>
      </c>
      <c r="F49" s="1" t="s">
        <v>24</v>
      </c>
      <c r="G49" s="1">
        <v>54</v>
      </c>
      <c r="H49" s="1">
        <v>5</v>
      </c>
      <c r="I49" s="1">
        <v>0</v>
      </c>
      <c r="J49" s="1">
        <v>0</v>
      </c>
      <c r="K49" s="1">
        <v>0</v>
      </c>
    </row>
    <row r="50" spans="1:11" ht="15.75" customHeight="1">
      <c r="A50" s="1">
        <v>7</v>
      </c>
      <c r="B50" s="1" t="s">
        <v>22</v>
      </c>
      <c r="C50" s="1" t="s">
        <v>30</v>
      </c>
      <c r="F50" s="1">
        <v>58</v>
      </c>
      <c r="G50" s="1">
        <v>14</v>
      </c>
      <c r="H50" s="1">
        <v>3</v>
      </c>
      <c r="I50" s="1">
        <v>0</v>
      </c>
      <c r="J50" s="1">
        <v>0</v>
      </c>
      <c r="K50" s="1">
        <v>0</v>
      </c>
    </row>
    <row r="51" spans="1:11" ht="15.75" customHeight="1">
      <c r="A51" s="1">
        <v>7</v>
      </c>
      <c r="B51" s="1" t="s">
        <v>25</v>
      </c>
      <c r="C51" s="1" t="s">
        <v>30</v>
      </c>
      <c r="F51" s="1">
        <v>104</v>
      </c>
      <c r="G51" s="1">
        <v>11</v>
      </c>
      <c r="H51" s="1">
        <v>3</v>
      </c>
      <c r="I51" s="1">
        <v>0</v>
      </c>
      <c r="J51" s="1">
        <v>0</v>
      </c>
      <c r="K51" s="1">
        <v>0</v>
      </c>
    </row>
    <row r="52" spans="1:11" ht="15.75" customHeight="1">
      <c r="A52" s="1">
        <v>7</v>
      </c>
      <c r="B52" s="1" t="s">
        <v>26</v>
      </c>
      <c r="C52" s="1" t="s">
        <v>30</v>
      </c>
      <c r="F52" s="1" t="s">
        <v>24</v>
      </c>
      <c r="G52" s="1">
        <v>44</v>
      </c>
      <c r="H52" s="1">
        <v>3</v>
      </c>
      <c r="I52" s="1">
        <v>4</v>
      </c>
      <c r="J52" s="1">
        <v>0</v>
      </c>
      <c r="K52" s="1">
        <v>0</v>
      </c>
    </row>
    <row r="53" spans="1:11" ht="15.75" customHeight="1">
      <c r="A53" s="1">
        <v>8</v>
      </c>
      <c r="B53" s="1" t="s">
        <v>22</v>
      </c>
      <c r="C53" s="1" t="s">
        <v>30</v>
      </c>
      <c r="F53" s="1">
        <v>36</v>
      </c>
      <c r="G53" s="1">
        <v>5</v>
      </c>
      <c r="H53" s="1">
        <v>1</v>
      </c>
      <c r="I53" s="1">
        <v>0</v>
      </c>
      <c r="J53" s="1">
        <v>0</v>
      </c>
      <c r="K53" s="1">
        <v>0</v>
      </c>
    </row>
    <row r="54" spans="1:11" ht="15.75" customHeight="1">
      <c r="A54" s="1">
        <v>8</v>
      </c>
      <c r="B54" s="1" t="s">
        <v>25</v>
      </c>
      <c r="C54" s="1" t="s">
        <v>30</v>
      </c>
      <c r="F54" s="1">
        <v>34</v>
      </c>
      <c r="G54" s="1">
        <v>2</v>
      </c>
      <c r="H54" s="1">
        <v>0</v>
      </c>
      <c r="I54" s="1">
        <v>0</v>
      </c>
      <c r="J54" s="1">
        <v>0</v>
      </c>
      <c r="K54" s="1">
        <v>0</v>
      </c>
    </row>
    <row r="55" spans="1:11" ht="15.75" customHeight="1">
      <c r="A55" s="1">
        <v>8</v>
      </c>
      <c r="B55" s="1" t="s">
        <v>26</v>
      </c>
      <c r="C55" s="1" t="s">
        <v>30</v>
      </c>
      <c r="F55" s="1" t="s">
        <v>24</v>
      </c>
      <c r="G55" s="1">
        <v>73</v>
      </c>
      <c r="H55" s="1">
        <v>11</v>
      </c>
      <c r="I55" s="1">
        <v>0</v>
      </c>
      <c r="J55" s="1">
        <v>0</v>
      </c>
      <c r="K55" s="1">
        <v>0</v>
      </c>
    </row>
    <row r="56" spans="1:11" ht="15.75" customHeight="1">
      <c r="A56" s="1">
        <v>9</v>
      </c>
      <c r="B56" s="1" t="s">
        <v>22</v>
      </c>
      <c r="C56" s="1" t="s">
        <v>30</v>
      </c>
      <c r="F56" s="1">
        <v>36</v>
      </c>
      <c r="G56" s="1">
        <v>12</v>
      </c>
      <c r="H56" s="1">
        <v>2</v>
      </c>
      <c r="I56" s="1">
        <v>0</v>
      </c>
      <c r="J56" s="1">
        <v>0</v>
      </c>
      <c r="K56" s="1">
        <v>0</v>
      </c>
    </row>
    <row r="57" spans="1:11" ht="15.75" customHeight="1">
      <c r="A57" s="1">
        <v>9</v>
      </c>
      <c r="B57" s="1" t="s">
        <v>25</v>
      </c>
      <c r="C57" s="1" t="s">
        <v>30</v>
      </c>
      <c r="F57" s="1">
        <v>17</v>
      </c>
      <c r="G57" s="1">
        <v>16</v>
      </c>
      <c r="H57" s="1">
        <v>1</v>
      </c>
      <c r="I57" s="1">
        <v>0</v>
      </c>
      <c r="J57" s="1">
        <v>0</v>
      </c>
      <c r="K57" s="1">
        <v>0</v>
      </c>
    </row>
    <row r="58" spans="1:11" ht="15.75" customHeight="1">
      <c r="A58" s="1">
        <v>9</v>
      </c>
      <c r="B58" s="1" t="s">
        <v>26</v>
      </c>
      <c r="C58" s="1" t="s">
        <v>30</v>
      </c>
      <c r="F58" s="1" t="s">
        <v>24</v>
      </c>
      <c r="G58" s="1">
        <v>19</v>
      </c>
      <c r="H58" s="1">
        <v>2</v>
      </c>
      <c r="I58" s="1">
        <v>0</v>
      </c>
      <c r="J58" s="1">
        <v>0</v>
      </c>
      <c r="K58" s="1">
        <v>0</v>
      </c>
    </row>
    <row r="59" spans="1:11" ht="15.75" customHeight="1">
      <c r="A59" s="1">
        <v>10</v>
      </c>
      <c r="B59" s="1" t="s">
        <v>22</v>
      </c>
      <c r="C59" s="1" t="s">
        <v>30</v>
      </c>
      <c r="F59" s="1" t="s">
        <v>24</v>
      </c>
      <c r="G59" s="1">
        <v>31</v>
      </c>
      <c r="H59" s="1">
        <v>3</v>
      </c>
      <c r="I59" s="1">
        <v>0</v>
      </c>
      <c r="J59" s="1">
        <v>0</v>
      </c>
      <c r="K59" s="1">
        <v>0</v>
      </c>
    </row>
    <row r="60" spans="1:11" ht="15.75" customHeight="1">
      <c r="A60" s="1">
        <v>10</v>
      </c>
      <c r="B60" s="1" t="s">
        <v>25</v>
      </c>
      <c r="C60" s="1" t="s">
        <v>30</v>
      </c>
      <c r="F60" s="1" t="s">
        <v>24</v>
      </c>
      <c r="G60" s="1">
        <v>14</v>
      </c>
      <c r="H60" s="1">
        <v>0</v>
      </c>
      <c r="I60" s="1">
        <v>0</v>
      </c>
      <c r="J60" s="1">
        <v>0</v>
      </c>
      <c r="K60" s="1">
        <v>0</v>
      </c>
    </row>
    <row r="61" spans="1:11" ht="15.75" customHeight="1">
      <c r="A61" s="1">
        <v>10</v>
      </c>
      <c r="B61" s="1" t="s">
        <v>26</v>
      </c>
      <c r="C61" s="1" t="s">
        <v>30</v>
      </c>
      <c r="F61" s="1" t="s">
        <v>24</v>
      </c>
      <c r="G61" s="1">
        <v>23</v>
      </c>
      <c r="H61" s="1">
        <v>0</v>
      </c>
      <c r="I61" s="1">
        <v>0</v>
      </c>
      <c r="J61" s="1">
        <v>0</v>
      </c>
      <c r="K6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4"/>
  <sheetViews>
    <sheetView workbookViewId="0"/>
  </sheetViews>
  <sheetFormatPr baseColWidth="10" defaultColWidth="14.5" defaultRowHeight="15.75" customHeight="1"/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15.75" customHeight="1">
      <c r="A2" s="1" t="s">
        <v>9</v>
      </c>
      <c r="B2" s="1" t="s">
        <v>10</v>
      </c>
      <c r="C2" s="2">
        <v>43956</v>
      </c>
      <c r="D2" s="2">
        <v>44001</v>
      </c>
      <c r="E2" s="1">
        <v>5</v>
      </c>
      <c r="F2" s="1">
        <v>0.33300000000000002</v>
      </c>
      <c r="G2" s="1">
        <v>0.5</v>
      </c>
      <c r="H2" s="1">
        <v>500</v>
      </c>
      <c r="I2" s="1">
        <v>100</v>
      </c>
    </row>
    <row r="4" spans="1:11" ht="15.75" customHeight="1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</row>
    <row r="5" spans="1:11" ht="15.75" customHeight="1">
      <c r="A5" s="7">
        <v>1</v>
      </c>
      <c r="B5" s="7" t="s">
        <v>22</v>
      </c>
      <c r="C5" s="7" t="s">
        <v>23</v>
      </c>
      <c r="D5" s="8"/>
      <c r="E5" s="9" t="s">
        <v>24</v>
      </c>
      <c r="F5" s="9" t="s">
        <v>24</v>
      </c>
      <c r="G5" s="9">
        <v>16</v>
      </c>
      <c r="H5" s="9">
        <v>1</v>
      </c>
      <c r="I5" s="4"/>
      <c r="J5" s="4"/>
      <c r="K5" s="4"/>
    </row>
    <row r="6" spans="1:11" ht="15.75" customHeight="1">
      <c r="A6" s="7">
        <v>1</v>
      </c>
      <c r="B6" s="7" t="s">
        <v>25</v>
      </c>
      <c r="C6" s="7" t="s">
        <v>23</v>
      </c>
      <c r="D6" s="8"/>
      <c r="E6" s="9" t="s">
        <v>24</v>
      </c>
      <c r="F6" s="9">
        <v>25</v>
      </c>
      <c r="G6" s="9">
        <v>2</v>
      </c>
      <c r="H6" s="9">
        <v>0</v>
      </c>
      <c r="I6" s="4"/>
      <c r="J6" s="4"/>
      <c r="K6" s="4"/>
    </row>
    <row r="7" spans="1:11" ht="15.75" customHeight="1">
      <c r="A7" s="7">
        <v>1</v>
      </c>
      <c r="B7" s="7" t="s">
        <v>26</v>
      </c>
      <c r="C7" s="7" t="s">
        <v>23</v>
      </c>
      <c r="D7" s="8"/>
      <c r="E7" s="9" t="s">
        <v>24</v>
      </c>
      <c r="F7" s="9" t="s">
        <v>24</v>
      </c>
      <c r="G7" s="9">
        <v>24</v>
      </c>
      <c r="H7" s="9">
        <v>3</v>
      </c>
      <c r="I7" s="4"/>
      <c r="J7" s="10"/>
      <c r="K7" s="10"/>
    </row>
    <row r="8" spans="1:11" ht="15.75" customHeight="1">
      <c r="A8" s="1">
        <v>2</v>
      </c>
      <c r="B8" s="1" t="s">
        <v>22</v>
      </c>
      <c r="C8" s="1" t="s">
        <v>23</v>
      </c>
      <c r="E8" s="11" t="s">
        <v>24</v>
      </c>
      <c r="F8" s="11">
        <v>33</v>
      </c>
      <c r="G8" s="11">
        <v>5</v>
      </c>
      <c r="H8" s="11">
        <v>2</v>
      </c>
      <c r="I8" s="4"/>
      <c r="J8" s="4"/>
      <c r="K8" s="4"/>
    </row>
    <row r="9" spans="1:11" ht="15.75" customHeight="1">
      <c r="A9" s="1">
        <v>2</v>
      </c>
      <c r="B9" s="1" t="s">
        <v>25</v>
      </c>
      <c r="C9" s="1" t="s">
        <v>23</v>
      </c>
      <c r="E9" s="11">
        <v>67</v>
      </c>
      <c r="F9" s="11">
        <v>17</v>
      </c>
      <c r="G9" s="11">
        <v>3</v>
      </c>
      <c r="H9" s="11">
        <v>0</v>
      </c>
      <c r="I9" s="4"/>
      <c r="J9" s="4"/>
      <c r="K9" s="4"/>
    </row>
    <row r="10" spans="1:11" ht="15.75" customHeight="1">
      <c r="A10" s="1">
        <v>2</v>
      </c>
      <c r="B10" s="1" t="s">
        <v>26</v>
      </c>
      <c r="C10" s="1" t="s">
        <v>23</v>
      </c>
      <c r="E10" s="11" t="s">
        <v>24</v>
      </c>
      <c r="F10" s="11" t="s">
        <v>24</v>
      </c>
      <c r="G10" s="11">
        <v>12</v>
      </c>
      <c r="H10" s="11">
        <v>1</v>
      </c>
      <c r="I10" s="4"/>
      <c r="J10" s="4"/>
      <c r="K10" s="4"/>
    </row>
    <row r="11" spans="1:11" ht="15.75" customHeight="1">
      <c r="A11" s="7">
        <v>3</v>
      </c>
      <c r="B11" s="7" t="s">
        <v>22</v>
      </c>
      <c r="C11" s="7" t="s">
        <v>23</v>
      </c>
      <c r="D11" s="8"/>
      <c r="E11" s="9">
        <v>43</v>
      </c>
      <c r="F11" s="9">
        <v>5</v>
      </c>
      <c r="G11" s="9">
        <v>2</v>
      </c>
      <c r="H11" s="9">
        <v>1</v>
      </c>
      <c r="I11" s="4"/>
      <c r="J11" s="4"/>
      <c r="K11" s="4"/>
    </row>
    <row r="12" spans="1:11" ht="15.75" customHeight="1">
      <c r="A12" s="7">
        <v>3</v>
      </c>
      <c r="B12" s="7" t="s">
        <v>25</v>
      </c>
      <c r="C12" s="7" t="s">
        <v>23</v>
      </c>
      <c r="D12" s="8"/>
      <c r="E12" s="9" t="s">
        <v>24</v>
      </c>
      <c r="F12" s="9">
        <v>21</v>
      </c>
      <c r="G12" s="9">
        <v>3</v>
      </c>
      <c r="H12" s="9">
        <v>0</v>
      </c>
      <c r="I12" s="4"/>
      <c r="J12" s="4"/>
      <c r="K12" s="4"/>
    </row>
    <row r="13" spans="1:11" ht="15.75" customHeight="1">
      <c r="A13" s="7">
        <v>3</v>
      </c>
      <c r="B13" s="7" t="s">
        <v>26</v>
      </c>
      <c r="C13" s="7" t="s">
        <v>23</v>
      </c>
      <c r="D13" s="8"/>
      <c r="E13" s="9" t="s">
        <v>24</v>
      </c>
      <c r="F13" s="9" t="s">
        <v>24</v>
      </c>
      <c r="G13" s="9">
        <v>31</v>
      </c>
      <c r="H13" s="9">
        <v>9</v>
      </c>
      <c r="I13" s="4"/>
      <c r="J13" s="4"/>
      <c r="K13" s="4"/>
    </row>
    <row r="14" spans="1:11" ht="15.75" customHeight="1">
      <c r="A14" s="1">
        <v>4</v>
      </c>
      <c r="B14" s="1" t="s">
        <v>22</v>
      </c>
      <c r="C14" s="1" t="s">
        <v>23</v>
      </c>
      <c r="E14" s="11" t="s">
        <v>24</v>
      </c>
      <c r="F14" s="11">
        <v>51</v>
      </c>
      <c r="G14" s="11">
        <v>6</v>
      </c>
      <c r="H14" s="11">
        <v>0</v>
      </c>
      <c r="I14" s="4"/>
      <c r="J14" s="4"/>
      <c r="K14" s="4"/>
    </row>
    <row r="15" spans="1:11" ht="15.75" customHeight="1">
      <c r="A15" s="1">
        <v>4</v>
      </c>
      <c r="B15" s="1" t="s">
        <v>25</v>
      </c>
      <c r="C15" s="1" t="s">
        <v>23</v>
      </c>
      <c r="E15" s="11">
        <v>30</v>
      </c>
      <c r="F15" s="11">
        <v>8</v>
      </c>
      <c r="G15" s="11">
        <v>1</v>
      </c>
      <c r="H15" s="11">
        <v>0</v>
      </c>
      <c r="I15" s="4"/>
      <c r="J15" s="4"/>
      <c r="K15" s="4"/>
    </row>
    <row r="16" spans="1:11" ht="15.75" customHeight="1">
      <c r="A16" s="1">
        <v>4</v>
      </c>
      <c r="B16" s="1" t="s">
        <v>26</v>
      </c>
      <c r="C16" s="1" t="s">
        <v>23</v>
      </c>
      <c r="E16" s="11" t="s">
        <v>24</v>
      </c>
      <c r="F16" s="11">
        <v>73</v>
      </c>
      <c r="G16" s="11">
        <v>15</v>
      </c>
      <c r="H16" s="11">
        <v>1</v>
      </c>
      <c r="I16" s="4"/>
      <c r="J16" s="4"/>
      <c r="K16" s="4"/>
    </row>
    <row r="17" spans="1:11" ht="15.75" customHeight="1">
      <c r="A17" s="7">
        <v>5</v>
      </c>
      <c r="B17" s="7" t="s">
        <v>22</v>
      </c>
      <c r="C17" s="7" t="s">
        <v>23</v>
      </c>
      <c r="D17" s="8"/>
      <c r="E17" s="9">
        <v>21</v>
      </c>
      <c r="F17" s="9">
        <v>6</v>
      </c>
      <c r="G17" s="9">
        <v>0</v>
      </c>
      <c r="H17" s="9">
        <v>0</v>
      </c>
      <c r="I17" s="4"/>
      <c r="J17" s="4"/>
      <c r="K17" s="4"/>
    </row>
    <row r="18" spans="1:11" ht="15.75" customHeight="1">
      <c r="A18" s="7">
        <v>5</v>
      </c>
      <c r="B18" s="7" t="s">
        <v>25</v>
      </c>
      <c r="C18" s="7" t="s">
        <v>23</v>
      </c>
      <c r="D18" s="8"/>
      <c r="E18" s="9">
        <v>35</v>
      </c>
      <c r="F18" s="9">
        <v>15</v>
      </c>
      <c r="G18" s="9">
        <v>2</v>
      </c>
      <c r="H18" s="9">
        <v>1</v>
      </c>
      <c r="I18" s="4"/>
      <c r="J18" s="4"/>
      <c r="K18" s="4"/>
    </row>
    <row r="19" spans="1:11" ht="15.75" customHeight="1">
      <c r="A19" s="7">
        <v>5</v>
      </c>
      <c r="B19" s="7" t="s">
        <v>26</v>
      </c>
      <c r="C19" s="7" t="s">
        <v>23</v>
      </c>
      <c r="D19" s="8"/>
      <c r="E19" s="9" t="s">
        <v>24</v>
      </c>
      <c r="F19" s="9">
        <v>90</v>
      </c>
      <c r="G19" s="9">
        <v>14</v>
      </c>
      <c r="H19" s="9">
        <v>1</v>
      </c>
      <c r="I19" s="4"/>
      <c r="J19" s="4"/>
      <c r="K19" s="4"/>
    </row>
    <row r="20" spans="1:11" ht="15.75" customHeight="1">
      <c r="A20" s="1">
        <v>6</v>
      </c>
      <c r="B20" s="1" t="s">
        <v>22</v>
      </c>
      <c r="C20" s="1" t="s">
        <v>23</v>
      </c>
      <c r="E20" s="11" t="s">
        <v>24</v>
      </c>
      <c r="F20" s="11" t="s">
        <v>24</v>
      </c>
      <c r="G20" s="11">
        <v>38</v>
      </c>
      <c r="H20" s="11">
        <v>0</v>
      </c>
      <c r="I20" s="4"/>
      <c r="J20" s="4"/>
      <c r="K20" s="4"/>
    </row>
    <row r="21" spans="1:11" ht="15.75" customHeight="1">
      <c r="A21" s="1">
        <v>6</v>
      </c>
      <c r="B21" s="1" t="s">
        <v>25</v>
      </c>
      <c r="C21" s="1" t="s">
        <v>23</v>
      </c>
      <c r="E21" s="11" t="s">
        <v>24</v>
      </c>
      <c r="F21" s="11" t="s">
        <v>24</v>
      </c>
      <c r="G21" s="11">
        <v>34</v>
      </c>
      <c r="H21" s="11">
        <v>6</v>
      </c>
      <c r="I21" s="4"/>
      <c r="J21" s="4"/>
      <c r="K21" s="4"/>
    </row>
    <row r="22" spans="1:11" ht="15.75" customHeight="1">
      <c r="A22" s="1">
        <v>6</v>
      </c>
      <c r="B22" s="1" t="s">
        <v>26</v>
      </c>
      <c r="C22" s="1" t="s">
        <v>23</v>
      </c>
      <c r="E22" s="11" t="s">
        <v>24</v>
      </c>
      <c r="F22" s="11" t="s">
        <v>24</v>
      </c>
      <c r="G22" s="3">
        <v>27</v>
      </c>
      <c r="H22" s="11">
        <v>0</v>
      </c>
      <c r="I22" s="4"/>
      <c r="J22" s="4"/>
      <c r="K22" s="4"/>
    </row>
    <row r="23" spans="1:11" ht="15.75" customHeight="1">
      <c r="A23" s="7">
        <v>7</v>
      </c>
      <c r="B23" s="7" t="s">
        <v>22</v>
      </c>
      <c r="C23" s="7" t="s">
        <v>23</v>
      </c>
      <c r="D23" s="8"/>
      <c r="E23" s="9">
        <v>67</v>
      </c>
      <c r="F23" s="9">
        <v>8</v>
      </c>
      <c r="G23" s="9">
        <v>1</v>
      </c>
      <c r="H23" s="9">
        <v>0</v>
      </c>
      <c r="I23" s="4"/>
      <c r="J23" s="4"/>
      <c r="K23" s="4"/>
    </row>
    <row r="24" spans="1:11" ht="15.75" customHeight="1">
      <c r="A24" s="7">
        <v>7</v>
      </c>
      <c r="B24" s="7" t="s">
        <v>25</v>
      </c>
      <c r="C24" s="7" t="s">
        <v>23</v>
      </c>
      <c r="D24" s="8"/>
      <c r="E24" s="9">
        <v>12</v>
      </c>
      <c r="F24" s="9">
        <v>0</v>
      </c>
      <c r="G24" s="9">
        <v>1</v>
      </c>
      <c r="H24" s="9">
        <v>0</v>
      </c>
      <c r="I24" s="4"/>
      <c r="J24" s="4"/>
      <c r="K24" s="4"/>
    </row>
    <row r="25" spans="1:11" ht="15.75" customHeight="1">
      <c r="A25" s="7">
        <v>7</v>
      </c>
      <c r="B25" s="7" t="s">
        <v>26</v>
      </c>
      <c r="C25" s="7" t="s">
        <v>23</v>
      </c>
      <c r="D25" s="8"/>
      <c r="E25" s="9" t="s">
        <v>24</v>
      </c>
      <c r="F25" s="9" t="s">
        <v>24</v>
      </c>
      <c r="G25" s="9">
        <v>43</v>
      </c>
      <c r="H25" s="9">
        <v>8</v>
      </c>
      <c r="I25" s="4"/>
      <c r="J25" s="4"/>
      <c r="K25" s="4"/>
    </row>
    <row r="26" spans="1:11" ht="15.75" customHeight="1">
      <c r="A26" s="1">
        <v>8</v>
      </c>
      <c r="B26" s="1" t="s">
        <v>22</v>
      </c>
      <c r="C26" s="1" t="s">
        <v>23</v>
      </c>
      <c r="D26" s="5"/>
      <c r="E26" s="3">
        <v>42</v>
      </c>
      <c r="F26" s="3">
        <v>8</v>
      </c>
      <c r="G26" s="3">
        <v>2</v>
      </c>
      <c r="H26" s="11">
        <v>1</v>
      </c>
      <c r="I26" s="4"/>
      <c r="J26" s="4"/>
      <c r="K26" s="4"/>
    </row>
    <row r="27" spans="1:11" ht="15.75" customHeight="1">
      <c r="A27" s="1">
        <v>8</v>
      </c>
      <c r="B27" s="1" t="s">
        <v>25</v>
      </c>
      <c r="C27" s="1" t="s">
        <v>23</v>
      </c>
      <c r="E27" s="11" t="s">
        <v>24</v>
      </c>
      <c r="F27" s="11">
        <v>60</v>
      </c>
      <c r="G27" s="11">
        <v>8</v>
      </c>
      <c r="H27" s="11">
        <v>0</v>
      </c>
      <c r="I27" s="4"/>
      <c r="J27" s="4"/>
      <c r="K27" s="4"/>
    </row>
    <row r="28" spans="1:11" ht="15.75" customHeight="1">
      <c r="A28" s="1">
        <v>8</v>
      </c>
      <c r="B28" s="1" t="s">
        <v>26</v>
      </c>
      <c r="C28" s="1" t="s">
        <v>23</v>
      </c>
      <c r="E28" s="11" t="s">
        <v>24</v>
      </c>
      <c r="F28" s="11">
        <v>92</v>
      </c>
      <c r="G28" s="11">
        <v>25</v>
      </c>
      <c r="H28" s="11">
        <v>0</v>
      </c>
      <c r="I28" s="4"/>
      <c r="J28" s="4"/>
      <c r="K28" s="4"/>
    </row>
    <row r="29" spans="1:11" ht="15.75" customHeight="1">
      <c r="A29" s="7">
        <v>9</v>
      </c>
      <c r="B29" s="7" t="s">
        <v>22</v>
      </c>
      <c r="C29" s="7" t="s">
        <v>23</v>
      </c>
      <c r="D29" s="8"/>
      <c r="E29" s="9">
        <v>38</v>
      </c>
      <c r="F29" s="9">
        <v>10</v>
      </c>
      <c r="G29" s="9">
        <v>0</v>
      </c>
      <c r="H29" s="9">
        <v>0</v>
      </c>
      <c r="I29" s="4"/>
      <c r="J29" s="4"/>
      <c r="K29" s="4"/>
    </row>
    <row r="30" spans="1:11" ht="15.75" customHeight="1">
      <c r="A30" s="7">
        <v>9</v>
      </c>
      <c r="B30" s="7" t="s">
        <v>25</v>
      </c>
      <c r="C30" s="7" t="s">
        <v>23</v>
      </c>
      <c r="D30" s="8"/>
      <c r="E30" s="9">
        <v>50</v>
      </c>
      <c r="F30" s="9">
        <v>14</v>
      </c>
      <c r="G30" s="9">
        <v>1</v>
      </c>
      <c r="H30" s="9">
        <v>1</v>
      </c>
      <c r="I30" s="4"/>
      <c r="J30" s="4"/>
      <c r="K30" s="4"/>
    </row>
    <row r="31" spans="1:11" ht="15.75" customHeight="1">
      <c r="A31" s="7">
        <v>9</v>
      </c>
      <c r="B31" s="7" t="s">
        <v>26</v>
      </c>
      <c r="C31" s="7" t="s">
        <v>23</v>
      </c>
      <c r="D31" s="8"/>
      <c r="E31" s="9" t="s">
        <v>24</v>
      </c>
      <c r="F31" s="9">
        <v>63</v>
      </c>
      <c r="G31" s="9">
        <v>13</v>
      </c>
      <c r="H31" s="9">
        <v>0</v>
      </c>
      <c r="I31" s="4"/>
      <c r="J31" s="4"/>
      <c r="K31" s="4"/>
    </row>
    <row r="32" spans="1:11" ht="15.75" customHeight="1">
      <c r="A32" s="1">
        <v>10</v>
      </c>
      <c r="B32" s="1" t="s">
        <v>22</v>
      </c>
      <c r="C32" s="1" t="s">
        <v>23</v>
      </c>
      <c r="D32" s="5"/>
      <c r="E32" s="3" t="s">
        <v>24</v>
      </c>
      <c r="F32" s="3">
        <v>41</v>
      </c>
      <c r="G32" s="3">
        <v>9</v>
      </c>
      <c r="H32" s="11">
        <v>1</v>
      </c>
      <c r="I32" s="4"/>
      <c r="J32" s="4"/>
      <c r="K32" s="4"/>
    </row>
    <row r="33" spans="1:11" ht="15.75" customHeight="1">
      <c r="A33" s="1">
        <v>10</v>
      </c>
      <c r="B33" s="1" t="s">
        <v>25</v>
      </c>
      <c r="C33" s="1" t="s">
        <v>23</v>
      </c>
      <c r="E33" s="11" t="s">
        <v>24</v>
      </c>
      <c r="F33" s="11">
        <v>37</v>
      </c>
      <c r="G33" s="11">
        <v>12</v>
      </c>
      <c r="H33" s="11">
        <v>3</v>
      </c>
      <c r="I33" s="4"/>
      <c r="J33" s="4"/>
      <c r="K33" s="4"/>
    </row>
    <row r="34" spans="1:11" ht="15.75" customHeight="1">
      <c r="A34" s="1">
        <v>10</v>
      </c>
      <c r="B34" s="1" t="s">
        <v>26</v>
      </c>
      <c r="C34" s="1" t="s">
        <v>23</v>
      </c>
      <c r="E34" s="11" t="s">
        <v>24</v>
      </c>
      <c r="F34" s="11" t="s">
        <v>24</v>
      </c>
      <c r="G34" s="11">
        <v>26</v>
      </c>
      <c r="H34" s="11">
        <v>8</v>
      </c>
      <c r="I34" s="4"/>
      <c r="J34" s="4"/>
      <c r="K34" s="4"/>
    </row>
    <row r="35" spans="1:11" ht="15.75" customHeight="1">
      <c r="A35" s="7">
        <v>1</v>
      </c>
      <c r="B35" s="7" t="s">
        <v>22</v>
      </c>
      <c r="C35" s="7" t="s">
        <v>30</v>
      </c>
      <c r="D35" s="8"/>
      <c r="E35" s="8"/>
      <c r="F35" s="7" t="s">
        <v>24</v>
      </c>
      <c r="G35" s="7">
        <v>16</v>
      </c>
      <c r="H35" s="7">
        <v>0</v>
      </c>
      <c r="I35" s="7">
        <v>0</v>
      </c>
      <c r="J35" s="7">
        <v>0</v>
      </c>
      <c r="K35" s="7">
        <v>0</v>
      </c>
    </row>
    <row r="36" spans="1:11" ht="15.75" customHeight="1">
      <c r="A36" s="7">
        <v>1</v>
      </c>
      <c r="B36" s="7" t="s">
        <v>25</v>
      </c>
      <c r="C36" s="7" t="s">
        <v>30</v>
      </c>
      <c r="D36" s="8"/>
      <c r="E36" s="8"/>
      <c r="F36" s="7" t="s">
        <v>24</v>
      </c>
      <c r="G36" s="7">
        <v>15</v>
      </c>
      <c r="H36" s="7">
        <v>2</v>
      </c>
      <c r="I36" s="7">
        <v>0</v>
      </c>
      <c r="J36" s="7">
        <v>0</v>
      </c>
      <c r="K36" s="7">
        <v>0</v>
      </c>
    </row>
    <row r="37" spans="1:11" ht="15.75" customHeight="1">
      <c r="A37" s="7">
        <v>1</v>
      </c>
      <c r="B37" s="7" t="s">
        <v>26</v>
      </c>
      <c r="C37" s="7" t="s">
        <v>30</v>
      </c>
      <c r="D37" s="8"/>
      <c r="E37" s="8"/>
      <c r="F37" s="7" t="s">
        <v>24</v>
      </c>
      <c r="G37" s="7">
        <v>23</v>
      </c>
      <c r="H37" s="7">
        <v>6</v>
      </c>
      <c r="I37" s="7">
        <v>0</v>
      </c>
      <c r="J37" s="7">
        <v>0</v>
      </c>
      <c r="K37" s="7">
        <v>0</v>
      </c>
    </row>
    <row r="38" spans="1:11" ht="15.75" customHeight="1">
      <c r="A38" s="1">
        <v>2</v>
      </c>
      <c r="B38" s="1" t="s">
        <v>22</v>
      </c>
      <c r="C38" s="1" t="s">
        <v>30</v>
      </c>
      <c r="F38" s="1" t="s">
        <v>24</v>
      </c>
      <c r="G38" s="1">
        <v>11</v>
      </c>
      <c r="H38" s="1">
        <v>2</v>
      </c>
      <c r="I38" s="1">
        <v>0</v>
      </c>
      <c r="J38" s="1">
        <v>0</v>
      </c>
      <c r="K38" s="1">
        <v>0</v>
      </c>
    </row>
    <row r="39" spans="1:11" ht="15.75" customHeight="1">
      <c r="A39" s="1">
        <v>2</v>
      </c>
      <c r="B39" s="1" t="s">
        <v>25</v>
      </c>
      <c r="C39" s="1" t="s">
        <v>30</v>
      </c>
      <c r="F39" s="1">
        <v>130</v>
      </c>
      <c r="G39" s="1">
        <v>6</v>
      </c>
      <c r="H39" s="1">
        <v>1</v>
      </c>
      <c r="I39" s="1">
        <v>0</v>
      </c>
      <c r="J39" s="1">
        <v>0</v>
      </c>
      <c r="K39" s="1">
        <v>0</v>
      </c>
    </row>
    <row r="40" spans="1:11" ht="15.75" customHeight="1">
      <c r="A40" s="1">
        <v>2</v>
      </c>
      <c r="B40" s="1" t="s">
        <v>26</v>
      </c>
      <c r="C40" s="1" t="s">
        <v>30</v>
      </c>
      <c r="F40" s="1">
        <v>54</v>
      </c>
      <c r="G40" s="1">
        <v>5</v>
      </c>
      <c r="H40" s="1">
        <v>1</v>
      </c>
      <c r="I40" s="1">
        <v>0</v>
      </c>
      <c r="J40" s="1">
        <v>0</v>
      </c>
      <c r="K40" s="1">
        <v>0</v>
      </c>
    </row>
    <row r="41" spans="1:11" ht="15.75" customHeight="1">
      <c r="A41" s="7">
        <v>3</v>
      </c>
      <c r="B41" s="7" t="s">
        <v>22</v>
      </c>
      <c r="C41" s="7" t="s">
        <v>30</v>
      </c>
      <c r="D41" s="8"/>
      <c r="E41" s="8"/>
      <c r="F41" s="7">
        <v>35</v>
      </c>
      <c r="G41" s="7">
        <v>6</v>
      </c>
      <c r="H41" s="7">
        <v>1</v>
      </c>
      <c r="I41" s="7">
        <v>0</v>
      </c>
      <c r="J41" s="7">
        <v>0</v>
      </c>
      <c r="K41" s="7">
        <v>0</v>
      </c>
    </row>
    <row r="42" spans="1:11" ht="15.75" customHeight="1">
      <c r="A42" s="7">
        <v>3</v>
      </c>
      <c r="B42" s="7" t="s">
        <v>25</v>
      </c>
      <c r="C42" s="7" t="s">
        <v>30</v>
      </c>
      <c r="D42" s="8"/>
      <c r="E42" s="8"/>
      <c r="F42" s="7">
        <v>75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</row>
    <row r="43" spans="1:11" ht="15.75" customHeight="1">
      <c r="A43" s="7">
        <v>3</v>
      </c>
      <c r="B43" s="7" t="s">
        <v>26</v>
      </c>
      <c r="C43" s="7" t="s">
        <v>30</v>
      </c>
      <c r="D43" s="8"/>
      <c r="E43" s="8"/>
      <c r="F43" s="7" t="s">
        <v>24</v>
      </c>
      <c r="G43" s="7">
        <v>49</v>
      </c>
      <c r="H43" s="7">
        <v>0</v>
      </c>
      <c r="I43" s="7">
        <v>1</v>
      </c>
      <c r="J43" s="7">
        <v>0</v>
      </c>
      <c r="K43" s="7">
        <v>0</v>
      </c>
    </row>
    <row r="44" spans="1:11" ht="15.75" customHeight="1">
      <c r="A44" s="1">
        <v>4</v>
      </c>
      <c r="B44" s="1" t="s">
        <v>22</v>
      </c>
      <c r="C44" s="1" t="s">
        <v>30</v>
      </c>
      <c r="F44" s="1" t="s">
        <v>24</v>
      </c>
      <c r="G44" s="1">
        <v>12</v>
      </c>
      <c r="H44" s="1">
        <v>2</v>
      </c>
      <c r="I44" s="1">
        <v>0</v>
      </c>
      <c r="J44" s="1">
        <v>0</v>
      </c>
      <c r="K44" s="1">
        <v>0</v>
      </c>
    </row>
    <row r="45" spans="1:11" ht="15.75" customHeight="1">
      <c r="A45" s="1">
        <v>4</v>
      </c>
      <c r="B45" s="1" t="s">
        <v>25</v>
      </c>
      <c r="C45" s="1" t="s">
        <v>30</v>
      </c>
      <c r="F45" s="1" t="s">
        <v>24</v>
      </c>
      <c r="G45" s="1">
        <v>43</v>
      </c>
      <c r="H45" s="1">
        <v>0</v>
      </c>
      <c r="I45" s="1">
        <v>0</v>
      </c>
      <c r="J45" s="1">
        <v>0</v>
      </c>
      <c r="K45" s="1">
        <v>0</v>
      </c>
    </row>
    <row r="46" spans="1:11" ht="15.75" customHeight="1">
      <c r="A46" s="1">
        <v>4</v>
      </c>
      <c r="B46" s="1" t="s">
        <v>26</v>
      </c>
      <c r="C46" s="1" t="s">
        <v>30</v>
      </c>
      <c r="F46" s="1" t="s">
        <v>24</v>
      </c>
      <c r="G46" s="1">
        <v>51</v>
      </c>
      <c r="H46" s="1">
        <v>0</v>
      </c>
      <c r="I46" s="1">
        <v>0</v>
      </c>
      <c r="J46" s="1">
        <v>0</v>
      </c>
      <c r="K46" s="1">
        <v>0</v>
      </c>
    </row>
    <row r="47" spans="1:11" ht="15.75" customHeight="1">
      <c r="A47" s="7">
        <v>5</v>
      </c>
      <c r="B47" s="7" t="s">
        <v>22</v>
      </c>
      <c r="C47" s="7" t="s">
        <v>30</v>
      </c>
      <c r="D47" s="8"/>
      <c r="E47" s="8"/>
      <c r="F47" s="7" t="s">
        <v>24</v>
      </c>
      <c r="G47" s="7">
        <v>19</v>
      </c>
      <c r="H47" s="7">
        <v>1</v>
      </c>
      <c r="I47" s="7">
        <v>0</v>
      </c>
      <c r="J47" s="7">
        <v>0</v>
      </c>
      <c r="K47" s="7">
        <v>0</v>
      </c>
    </row>
    <row r="48" spans="1:11" ht="15.75" customHeight="1">
      <c r="A48" s="7">
        <v>5</v>
      </c>
      <c r="B48" s="7" t="s">
        <v>25</v>
      </c>
      <c r="C48" s="7" t="s">
        <v>30</v>
      </c>
      <c r="D48" s="8"/>
      <c r="E48" s="8"/>
      <c r="F48" s="7" t="s">
        <v>24</v>
      </c>
      <c r="G48" s="7">
        <v>38</v>
      </c>
      <c r="H48" s="7">
        <v>9</v>
      </c>
      <c r="I48" s="7">
        <v>0</v>
      </c>
      <c r="J48" s="7">
        <v>0</v>
      </c>
      <c r="K48" s="7">
        <v>0</v>
      </c>
    </row>
    <row r="49" spans="1:11" ht="15.75" customHeight="1">
      <c r="A49" s="7">
        <v>5</v>
      </c>
      <c r="B49" s="7" t="s">
        <v>26</v>
      </c>
      <c r="C49" s="7" t="s">
        <v>30</v>
      </c>
      <c r="D49" s="8"/>
      <c r="E49" s="8"/>
      <c r="F49" s="7">
        <v>41</v>
      </c>
      <c r="G49" s="7">
        <v>1</v>
      </c>
      <c r="H49" s="7">
        <v>0</v>
      </c>
      <c r="I49" s="7">
        <v>0</v>
      </c>
      <c r="J49" s="7">
        <v>0</v>
      </c>
      <c r="K49" s="7">
        <v>0</v>
      </c>
    </row>
    <row r="50" spans="1:11" ht="15.75" customHeight="1">
      <c r="A50" s="1">
        <v>6</v>
      </c>
      <c r="B50" s="1" t="s">
        <v>22</v>
      </c>
      <c r="C50" s="1" t="s">
        <v>30</v>
      </c>
      <c r="F50" s="1" t="s">
        <v>24</v>
      </c>
      <c r="G50" s="1">
        <v>74</v>
      </c>
      <c r="H50" s="1">
        <v>13</v>
      </c>
      <c r="I50" s="1">
        <v>2</v>
      </c>
      <c r="J50" s="1">
        <v>1</v>
      </c>
      <c r="K50" s="1">
        <v>0</v>
      </c>
    </row>
    <row r="51" spans="1:11" ht="15.75" customHeight="1">
      <c r="A51" s="1">
        <v>6</v>
      </c>
      <c r="B51" s="1" t="s">
        <v>25</v>
      </c>
      <c r="C51" s="1" t="s">
        <v>30</v>
      </c>
      <c r="F51" s="1" t="s">
        <v>24</v>
      </c>
      <c r="G51" s="1">
        <v>64</v>
      </c>
      <c r="H51" s="1">
        <v>6</v>
      </c>
      <c r="I51" s="1">
        <v>0</v>
      </c>
      <c r="J51" s="1">
        <v>0</v>
      </c>
      <c r="K51" s="1">
        <v>0</v>
      </c>
    </row>
    <row r="52" spans="1:11" ht="15.75" customHeight="1">
      <c r="A52" s="1">
        <v>6</v>
      </c>
      <c r="B52" s="1" t="s">
        <v>26</v>
      </c>
      <c r="C52" s="1" t="s">
        <v>30</v>
      </c>
      <c r="F52" s="1" t="s">
        <v>24</v>
      </c>
      <c r="G52" s="1">
        <v>54</v>
      </c>
      <c r="H52" s="1">
        <v>5</v>
      </c>
      <c r="I52" s="1">
        <v>0</v>
      </c>
      <c r="J52" s="1">
        <v>0</v>
      </c>
      <c r="K52" s="1">
        <v>0</v>
      </c>
    </row>
    <row r="53" spans="1:11" ht="15.75" customHeight="1">
      <c r="A53" s="7">
        <v>7</v>
      </c>
      <c r="B53" s="7" t="s">
        <v>22</v>
      </c>
      <c r="C53" s="7" t="s">
        <v>30</v>
      </c>
      <c r="D53" s="8"/>
      <c r="E53" s="8"/>
      <c r="F53" s="7">
        <v>58</v>
      </c>
      <c r="G53" s="7">
        <v>14</v>
      </c>
      <c r="H53" s="7">
        <v>3</v>
      </c>
      <c r="I53" s="7">
        <v>0</v>
      </c>
      <c r="J53" s="7">
        <v>0</v>
      </c>
      <c r="K53" s="7">
        <v>0</v>
      </c>
    </row>
    <row r="54" spans="1:11" ht="15.75" customHeight="1">
      <c r="A54" s="7">
        <v>7</v>
      </c>
      <c r="B54" s="7" t="s">
        <v>25</v>
      </c>
      <c r="C54" s="7" t="s">
        <v>30</v>
      </c>
      <c r="D54" s="8"/>
      <c r="E54" s="8"/>
      <c r="F54" s="7">
        <v>104</v>
      </c>
      <c r="G54" s="7">
        <v>11</v>
      </c>
      <c r="H54" s="7">
        <v>3</v>
      </c>
      <c r="I54" s="7">
        <v>0</v>
      </c>
      <c r="J54" s="7">
        <v>0</v>
      </c>
      <c r="K54" s="7">
        <v>0</v>
      </c>
    </row>
    <row r="55" spans="1:11" ht="15.75" customHeight="1">
      <c r="A55" s="7">
        <v>7</v>
      </c>
      <c r="B55" s="7" t="s">
        <v>26</v>
      </c>
      <c r="C55" s="7" t="s">
        <v>30</v>
      </c>
      <c r="D55" s="8"/>
      <c r="E55" s="8"/>
      <c r="F55" s="7" t="s">
        <v>24</v>
      </c>
      <c r="G55" s="7">
        <v>44</v>
      </c>
      <c r="H55" s="7">
        <v>3</v>
      </c>
      <c r="I55" s="7">
        <v>4</v>
      </c>
      <c r="J55" s="7">
        <v>0</v>
      </c>
      <c r="K55" s="7">
        <v>0</v>
      </c>
    </row>
    <row r="56" spans="1:11" ht="15.75" customHeight="1">
      <c r="A56" s="1">
        <v>8</v>
      </c>
      <c r="B56" s="1" t="s">
        <v>22</v>
      </c>
      <c r="C56" s="1" t="s">
        <v>30</v>
      </c>
      <c r="F56" s="1">
        <v>36</v>
      </c>
      <c r="G56" s="1">
        <v>5</v>
      </c>
      <c r="H56" s="1">
        <v>1</v>
      </c>
      <c r="I56" s="1">
        <v>0</v>
      </c>
      <c r="J56" s="1">
        <v>0</v>
      </c>
      <c r="K56" s="1">
        <v>0</v>
      </c>
    </row>
    <row r="57" spans="1:11" ht="15.75" customHeight="1">
      <c r="A57" s="1">
        <v>8</v>
      </c>
      <c r="B57" s="1" t="s">
        <v>25</v>
      </c>
      <c r="C57" s="1" t="s">
        <v>30</v>
      </c>
      <c r="F57" s="1">
        <v>34</v>
      </c>
      <c r="G57" s="1">
        <v>2</v>
      </c>
      <c r="H57" s="1">
        <v>0</v>
      </c>
      <c r="I57" s="1">
        <v>0</v>
      </c>
      <c r="J57" s="1">
        <v>0</v>
      </c>
      <c r="K57" s="1">
        <v>0</v>
      </c>
    </row>
    <row r="58" spans="1:11" ht="15.75" customHeight="1">
      <c r="A58" s="1">
        <v>8</v>
      </c>
      <c r="B58" s="1" t="s">
        <v>26</v>
      </c>
      <c r="C58" s="1" t="s">
        <v>30</v>
      </c>
      <c r="F58" s="1" t="s">
        <v>24</v>
      </c>
      <c r="G58" s="1">
        <v>73</v>
      </c>
      <c r="H58" s="1">
        <v>11</v>
      </c>
      <c r="I58" s="1">
        <v>0</v>
      </c>
      <c r="J58" s="1">
        <v>0</v>
      </c>
      <c r="K58" s="1">
        <v>0</v>
      </c>
    </row>
    <row r="59" spans="1:11" ht="15.75" customHeight="1">
      <c r="A59" s="7">
        <v>9</v>
      </c>
      <c r="B59" s="7" t="s">
        <v>22</v>
      </c>
      <c r="C59" s="7" t="s">
        <v>30</v>
      </c>
      <c r="D59" s="8"/>
      <c r="E59" s="8"/>
      <c r="F59" s="7">
        <v>36</v>
      </c>
      <c r="G59" s="7">
        <v>12</v>
      </c>
      <c r="H59" s="7">
        <v>2</v>
      </c>
      <c r="I59" s="7">
        <v>0</v>
      </c>
      <c r="J59" s="7">
        <v>0</v>
      </c>
      <c r="K59" s="7">
        <v>0</v>
      </c>
    </row>
    <row r="60" spans="1:11" ht="15.75" customHeight="1">
      <c r="A60" s="7">
        <v>9</v>
      </c>
      <c r="B60" s="7" t="s">
        <v>25</v>
      </c>
      <c r="C60" s="7" t="s">
        <v>30</v>
      </c>
      <c r="D60" s="8"/>
      <c r="E60" s="8"/>
      <c r="F60" s="7">
        <v>17</v>
      </c>
      <c r="G60" s="7">
        <v>16</v>
      </c>
      <c r="H60" s="7">
        <v>1</v>
      </c>
      <c r="I60" s="7">
        <v>0</v>
      </c>
      <c r="J60" s="7">
        <v>0</v>
      </c>
      <c r="K60" s="7">
        <v>0</v>
      </c>
    </row>
    <row r="61" spans="1:11" ht="15.75" customHeight="1">
      <c r="A61" s="7">
        <v>9</v>
      </c>
      <c r="B61" s="7" t="s">
        <v>26</v>
      </c>
      <c r="C61" s="7" t="s">
        <v>30</v>
      </c>
      <c r="D61" s="8"/>
      <c r="E61" s="8"/>
      <c r="F61" s="7" t="s">
        <v>24</v>
      </c>
      <c r="G61" s="7">
        <v>19</v>
      </c>
      <c r="H61" s="7">
        <v>2</v>
      </c>
      <c r="I61" s="7">
        <v>0</v>
      </c>
      <c r="J61" s="7">
        <v>0</v>
      </c>
      <c r="K61" s="7">
        <v>0</v>
      </c>
    </row>
    <row r="62" spans="1:11" ht="15.75" customHeight="1">
      <c r="A62" s="1">
        <v>10</v>
      </c>
      <c r="B62" s="1" t="s">
        <v>22</v>
      </c>
      <c r="C62" s="1" t="s">
        <v>30</v>
      </c>
      <c r="F62" s="1" t="s">
        <v>24</v>
      </c>
      <c r="G62" s="1">
        <v>31</v>
      </c>
      <c r="H62" s="1">
        <v>3</v>
      </c>
      <c r="I62" s="1">
        <v>0</v>
      </c>
      <c r="J62" s="1">
        <v>0</v>
      </c>
      <c r="K62" s="1">
        <v>0</v>
      </c>
    </row>
    <row r="63" spans="1:11" ht="15.75" customHeight="1">
      <c r="A63" s="1">
        <v>10</v>
      </c>
      <c r="B63" s="1" t="s">
        <v>25</v>
      </c>
      <c r="C63" s="1" t="s">
        <v>30</v>
      </c>
      <c r="F63" s="1" t="s">
        <v>24</v>
      </c>
      <c r="G63" s="1">
        <v>14</v>
      </c>
      <c r="H63" s="1">
        <v>0</v>
      </c>
      <c r="I63" s="1">
        <v>0</v>
      </c>
      <c r="J63" s="1">
        <v>0</v>
      </c>
      <c r="K63" s="1">
        <v>0</v>
      </c>
    </row>
    <row r="64" spans="1:11" ht="15.75" customHeight="1">
      <c r="A64" s="1">
        <v>10</v>
      </c>
      <c r="B64" s="1" t="s">
        <v>26</v>
      </c>
      <c r="C64" s="1" t="s">
        <v>30</v>
      </c>
      <c r="F64" s="1" t="s">
        <v>24</v>
      </c>
      <c r="G64" s="1">
        <v>23</v>
      </c>
      <c r="H64" s="1">
        <v>0</v>
      </c>
      <c r="I64" s="1">
        <v>0</v>
      </c>
      <c r="J64" s="1">
        <v>0</v>
      </c>
      <c r="K6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66"/>
  <sheetViews>
    <sheetView workbookViewId="0"/>
  </sheetViews>
  <sheetFormatPr baseColWidth="10" defaultColWidth="14.5" defaultRowHeight="15.75" customHeight="1"/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ht="15.75" customHeight="1">
      <c r="A2" s="1" t="s">
        <v>9</v>
      </c>
      <c r="B2" s="1" t="s">
        <v>10</v>
      </c>
      <c r="C2" s="2">
        <v>43956</v>
      </c>
      <c r="D2" s="2">
        <v>44001</v>
      </c>
      <c r="E2" s="1">
        <v>5</v>
      </c>
      <c r="F2" s="1">
        <v>0.33300000000000002</v>
      </c>
      <c r="G2" s="1">
        <v>0.5</v>
      </c>
      <c r="H2" s="1">
        <v>500</v>
      </c>
      <c r="I2" s="1">
        <v>100</v>
      </c>
    </row>
    <row r="4" spans="1:12" ht="15.75" customHeight="1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</row>
    <row r="5" spans="1:12" ht="15.75" customHeight="1">
      <c r="A5" s="1">
        <v>1</v>
      </c>
      <c r="B5" s="1" t="s">
        <v>22</v>
      </c>
      <c r="C5" s="1" t="s">
        <v>23</v>
      </c>
      <c r="E5" s="3" t="s">
        <v>24</v>
      </c>
      <c r="F5" s="11" t="s">
        <v>24</v>
      </c>
      <c r="G5" s="12">
        <v>16</v>
      </c>
      <c r="H5" s="3">
        <v>1</v>
      </c>
      <c r="I5" s="10"/>
      <c r="J5" s="4"/>
      <c r="K5" s="4"/>
    </row>
    <row r="6" spans="1:12" ht="15.75" customHeight="1">
      <c r="A6" s="1">
        <v>1</v>
      </c>
      <c r="B6" s="1" t="s">
        <v>25</v>
      </c>
      <c r="C6" s="1" t="s">
        <v>23</v>
      </c>
      <c r="E6" s="11" t="s">
        <v>24</v>
      </c>
      <c r="F6" s="12">
        <v>25</v>
      </c>
      <c r="G6" s="3">
        <v>2</v>
      </c>
      <c r="H6" s="11">
        <v>0</v>
      </c>
      <c r="I6" s="4"/>
      <c r="J6" s="4"/>
      <c r="K6" s="4"/>
    </row>
    <row r="7" spans="1:12" ht="15.75" customHeight="1">
      <c r="A7" s="1">
        <v>1</v>
      </c>
      <c r="B7" s="1" t="s">
        <v>26</v>
      </c>
      <c r="C7" s="1" t="s">
        <v>23</v>
      </c>
      <c r="E7" s="11" t="s">
        <v>24</v>
      </c>
      <c r="F7" s="3" t="s">
        <v>24</v>
      </c>
      <c r="G7" s="12">
        <v>24</v>
      </c>
      <c r="H7" s="11">
        <v>3</v>
      </c>
      <c r="I7" s="4"/>
      <c r="J7" s="6" t="s">
        <v>27</v>
      </c>
      <c r="K7" s="6" t="s">
        <v>28</v>
      </c>
      <c r="L7" s="1" t="s">
        <v>29</v>
      </c>
    </row>
    <row r="8" spans="1:12" ht="15.75" customHeight="1">
      <c r="A8" s="1">
        <v>2</v>
      </c>
      <c r="B8" s="1" t="s">
        <v>22</v>
      </c>
      <c r="C8" s="1" t="s">
        <v>23</v>
      </c>
      <c r="E8" s="3" t="s">
        <v>24</v>
      </c>
      <c r="F8" s="12">
        <v>33</v>
      </c>
      <c r="G8" s="11">
        <v>5</v>
      </c>
      <c r="H8" s="11">
        <v>2</v>
      </c>
      <c r="I8" s="4"/>
      <c r="J8" s="4"/>
      <c r="K8" s="4"/>
    </row>
    <row r="9" spans="1:12" ht="15.75" customHeight="1">
      <c r="A9" s="1">
        <v>2</v>
      </c>
      <c r="B9" s="1" t="s">
        <v>25</v>
      </c>
      <c r="C9" s="1" t="s">
        <v>23</v>
      </c>
      <c r="E9" s="11">
        <v>67</v>
      </c>
      <c r="F9" s="12">
        <v>17</v>
      </c>
      <c r="G9" s="11">
        <v>3</v>
      </c>
      <c r="H9" s="11">
        <v>0</v>
      </c>
      <c r="I9" s="4"/>
      <c r="J9" s="4"/>
      <c r="K9" s="4"/>
    </row>
    <row r="10" spans="1:12" ht="15.75" customHeight="1">
      <c r="A10" s="1">
        <v>2</v>
      </c>
      <c r="B10" s="1" t="s">
        <v>26</v>
      </c>
      <c r="C10" s="1" t="s">
        <v>23</v>
      </c>
      <c r="E10" s="3" t="s">
        <v>24</v>
      </c>
      <c r="F10" s="3" t="s">
        <v>24</v>
      </c>
      <c r="G10" s="12">
        <v>12</v>
      </c>
      <c r="H10" s="11">
        <v>1</v>
      </c>
      <c r="I10" s="4"/>
      <c r="J10" s="4"/>
      <c r="K10" s="4"/>
    </row>
    <row r="11" spans="1:12" ht="15.75" customHeight="1">
      <c r="A11" s="1">
        <v>3</v>
      </c>
      <c r="B11" s="1" t="s">
        <v>22</v>
      </c>
      <c r="C11" s="1" t="s">
        <v>23</v>
      </c>
      <c r="E11" s="12">
        <v>43</v>
      </c>
      <c r="F11" s="11">
        <v>5</v>
      </c>
      <c r="G11" s="11">
        <v>2</v>
      </c>
      <c r="H11" s="11">
        <v>1</v>
      </c>
      <c r="I11" s="4"/>
      <c r="J11" s="4"/>
      <c r="K11" s="4"/>
    </row>
    <row r="12" spans="1:12" ht="15.75" customHeight="1">
      <c r="A12" s="1">
        <v>3</v>
      </c>
      <c r="B12" s="1" t="s">
        <v>25</v>
      </c>
      <c r="C12" s="1" t="s">
        <v>23</v>
      </c>
      <c r="E12" s="11" t="s">
        <v>24</v>
      </c>
      <c r="F12" s="12">
        <v>21</v>
      </c>
      <c r="G12" s="11">
        <v>3</v>
      </c>
      <c r="H12" s="11">
        <v>0</v>
      </c>
      <c r="I12" s="4"/>
      <c r="J12" s="4"/>
      <c r="K12" s="4"/>
    </row>
    <row r="13" spans="1:12" ht="15.75" customHeight="1">
      <c r="A13" s="1">
        <v>3</v>
      </c>
      <c r="B13" s="1" t="s">
        <v>26</v>
      </c>
      <c r="C13" s="1" t="s">
        <v>23</v>
      </c>
      <c r="E13" s="11" t="s">
        <v>24</v>
      </c>
      <c r="F13" s="3" t="s">
        <v>24</v>
      </c>
      <c r="G13" s="12">
        <v>31</v>
      </c>
      <c r="H13" s="12">
        <v>9</v>
      </c>
      <c r="I13" s="4"/>
      <c r="J13" s="4"/>
      <c r="K13" s="4"/>
    </row>
    <row r="14" spans="1:12" ht="15.75" customHeight="1">
      <c r="A14" s="1">
        <v>4</v>
      </c>
      <c r="B14" s="1" t="s">
        <v>22</v>
      </c>
      <c r="C14" s="1" t="s">
        <v>23</v>
      </c>
      <c r="E14" s="3" t="s">
        <v>24</v>
      </c>
      <c r="F14" s="3">
        <v>51</v>
      </c>
      <c r="G14" s="12">
        <v>6</v>
      </c>
      <c r="H14" s="11">
        <v>0</v>
      </c>
      <c r="I14" s="4"/>
      <c r="J14" s="4"/>
      <c r="K14" s="4"/>
    </row>
    <row r="15" spans="1:12" ht="15.75" customHeight="1">
      <c r="A15" s="1">
        <v>4</v>
      </c>
      <c r="B15" s="1" t="s">
        <v>25</v>
      </c>
      <c r="C15" s="1" t="s">
        <v>23</v>
      </c>
      <c r="E15" s="12">
        <v>30</v>
      </c>
      <c r="F15" s="12">
        <v>8</v>
      </c>
      <c r="G15" s="11">
        <v>1</v>
      </c>
      <c r="H15" s="11">
        <v>0</v>
      </c>
      <c r="I15" s="4"/>
      <c r="J15" s="4"/>
      <c r="K15" s="4"/>
    </row>
    <row r="16" spans="1:12" ht="15.75" customHeight="1">
      <c r="A16" s="1">
        <v>4</v>
      </c>
      <c r="B16" s="1" t="s">
        <v>26</v>
      </c>
      <c r="C16" s="1" t="s">
        <v>23</v>
      </c>
      <c r="E16" s="3" t="s">
        <v>24</v>
      </c>
      <c r="F16" s="11">
        <v>73</v>
      </c>
      <c r="G16" s="12">
        <v>15</v>
      </c>
      <c r="H16" s="11">
        <v>1</v>
      </c>
      <c r="I16" s="4"/>
      <c r="J16" s="4"/>
      <c r="K16" s="4"/>
    </row>
    <row r="17" spans="1:11" ht="15.75" customHeight="1">
      <c r="A17" s="1">
        <v>5</v>
      </c>
      <c r="B17" s="1" t="s">
        <v>22</v>
      </c>
      <c r="C17" s="1" t="s">
        <v>23</v>
      </c>
      <c r="E17" s="12">
        <v>21</v>
      </c>
      <c r="F17" s="12">
        <v>6</v>
      </c>
      <c r="G17" s="11">
        <v>0</v>
      </c>
      <c r="H17" s="11">
        <v>0</v>
      </c>
      <c r="I17" s="4"/>
      <c r="J17" s="4"/>
      <c r="K17" s="4"/>
    </row>
    <row r="18" spans="1:11" ht="15.75" customHeight="1">
      <c r="A18" s="1">
        <v>5</v>
      </c>
      <c r="B18" s="1" t="s">
        <v>25</v>
      </c>
      <c r="C18" s="1" t="s">
        <v>23</v>
      </c>
      <c r="E18" s="12">
        <v>35</v>
      </c>
      <c r="F18" s="12">
        <v>15</v>
      </c>
      <c r="G18" s="11">
        <v>2</v>
      </c>
      <c r="H18" s="11">
        <v>1</v>
      </c>
      <c r="I18" s="4"/>
      <c r="J18" s="4"/>
      <c r="K18" s="4"/>
    </row>
    <row r="19" spans="1:11" ht="15.75" customHeight="1">
      <c r="A19" s="1">
        <v>5</v>
      </c>
      <c r="B19" s="1" t="s">
        <v>26</v>
      </c>
      <c r="C19" s="1" t="s">
        <v>23</v>
      </c>
      <c r="E19" s="11" t="s">
        <v>24</v>
      </c>
      <c r="F19" s="3">
        <v>90</v>
      </c>
      <c r="G19" s="12">
        <v>14</v>
      </c>
      <c r="H19" s="11">
        <v>1</v>
      </c>
      <c r="I19" s="4"/>
      <c r="J19" s="4"/>
      <c r="K19" s="4"/>
    </row>
    <row r="20" spans="1:11" ht="15.75" customHeight="1">
      <c r="A20" s="1">
        <v>6</v>
      </c>
      <c r="B20" s="1" t="s">
        <v>22</v>
      </c>
      <c r="C20" s="1" t="s">
        <v>23</v>
      </c>
      <c r="E20" s="11" t="s">
        <v>24</v>
      </c>
      <c r="F20" s="3" t="s">
        <v>24</v>
      </c>
      <c r="G20" s="12">
        <v>38</v>
      </c>
      <c r="H20" s="11">
        <v>0</v>
      </c>
      <c r="I20" s="4"/>
      <c r="J20" s="4"/>
      <c r="K20" s="4"/>
    </row>
    <row r="21" spans="1:11" ht="15.75" customHeight="1">
      <c r="A21" s="1">
        <v>6</v>
      </c>
      <c r="B21" s="1" t="s">
        <v>25</v>
      </c>
      <c r="C21" s="1" t="s">
        <v>23</v>
      </c>
      <c r="E21" s="11" t="s">
        <v>24</v>
      </c>
      <c r="F21" s="3" t="s">
        <v>24</v>
      </c>
      <c r="G21" s="12">
        <v>34</v>
      </c>
      <c r="H21" s="12">
        <v>6</v>
      </c>
      <c r="I21" s="4"/>
      <c r="J21" s="4"/>
      <c r="K21" s="4"/>
    </row>
    <row r="22" spans="1:11" ht="15.75" customHeight="1">
      <c r="A22" s="1">
        <v>6</v>
      </c>
      <c r="B22" s="1" t="s">
        <v>26</v>
      </c>
      <c r="C22" s="1" t="s">
        <v>23</v>
      </c>
      <c r="E22" s="11" t="s">
        <v>24</v>
      </c>
      <c r="F22" s="11" t="s">
        <v>24</v>
      </c>
      <c r="G22" s="12">
        <v>27</v>
      </c>
      <c r="H22" s="11">
        <v>0</v>
      </c>
      <c r="I22" s="4"/>
      <c r="J22" s="4"/>
      <c r="K22" s="4"/>
    </row>
    <row r="23" spans="1:11" ht="15.75" customHeight="1">
      <c r="A23" s="1">
        <v>7</v>
      </c>
      <c r="B23" s="1" t="s">
        <v>22</v>
      </c>
      <c r="C23" s="1" t="s">
        <v>23</v>
      </c>
      <c r="E23" s="3">
        <v>67</v>
      </c>
      <c r="F23" s="12">
        <v>8</v>
      </c>
      <c r="G23" s="11">
        <v>1</v>
      </c>
      <c r="H23" s="11">
        <v>0</v>
      </c>
      <c r="I23" s="4"/>
      <c r="J23" s="4"/>
      <c r="K23" s="4"/>
    </row>
    <row r="24" spans="1:11" ht="15.75" customHeight="1">
      <c r="A24" s="1">
        <v>7</v>
      </c>
      <c r="B24" s="1" t="s">
        <v>25</v>
      </c>
      <c r="C24" s="1" t="s">
        <v>23</v>
      </c>
      <c r="E24" s="12">
        <v>12</v>
      </c>
      <c r="F24" s="11">
        <v>0</v>
      </c>
      <c r="G24" s="11">
        <v>1</v>
      </c>
      <c r="H24" s="11">
        <v>0</v>
      </c>
      <c r="I24" s="4"/>
      <c r="J24" s="4"/>
      <c r="K24" s="4"/>
    </row>
    <row r="25" spans="1:11" ht="15.75" customHeight="1">
      <c r="A25" s="1">
        <v>7</v>
      </c>
      <c r="B25" s="1" t="s">
        <v>26</v>
      </c>
      <c r="C25" s="1" t="s">
        <v>23</v>
      </c>
      <c r="E25" s="3" t="s">
        <v>24</v>
      </c>
      <c r="F25" s="11" t="s">
        <v>24</v>
      </c>
      <c r="G25" s="12">
        <v>43</v>
      </c>
      <c r="H25" s="12">
        <v>8</v>
      </c>
      <c r="I25" s="4"/>
      <c r="J25" s="4"/>
      <c r="K25" s="4"/>
    </row>
    <row r="26" spans="1:11" ht="15.75" customHeight="1">
      <c r="A26" s="1">
        <v>8</v>
      </c>
      <c r="B26" s="1" t="s">
        <v>22</v>
      </c>
      <c r="C26" s="1" t="s">
        <v>23</v>
      </c>
      <c r="D26" s="5"/>
      <c r="E26" s="12">
        <v>42</v>
      </c>
      <c r="F26" s="12">
        <v>8</v>
      </c>
      <c r="G26" s="3">
        <v>2</v>
      </c>
      <c r="H26" s="11">
        <v>1</v>
      </c>
      <c r="I26" s="4"/>
      <c r="J26" s="4"/>
      <c r="K26" s="4"/>
    </row>
    <row r="27" spans="1:11" ht="15.75" customHeight="1">
      <c r="A27" s="1">
        <v>8</v>
      </c>
      <c r="B27" s="1" t="s">
        <v>25</v>
      </c>
      <c r="C27" s="1" t="s">
        <v>23</v>
      </c>
      <c r="E27" s="3" t="s">
        <v>24</v>
      </c>
      <c r="F27" s="11">
        <v>60</v>
      </c>
      <c r="G27" s="12">
        <v>8</v>
      </c>
      <c r="H27" s="11">
        <v>0</v>
      </c>
      <c r="I27" s="4"/>
      <c r="J27" s="4"/>
      <c r="K27" s="4"/>
    </row>
    <row r="28" spans="1:11" ht="15.75" customHeight="1">
      <c r="A28" s="1">
        <v>8</v>
      </c>
      <c r="B28" s="1" t="s">
        <v>26</v>
      </c>
      <c r="C28" s="1" t="s">
        <v>23</v>
      </c>
      <c r="E28" s="11" t="s">
        <v>24</v>
      </c>
      <c r="F28" s="3">
        <v>92</v>
      </c>
      <c r="G28" s="12">
        <v>25</v>
      </c>
      <c r="H28" s="11">
        <v>0</v>
      </c>
      <c r="I28" s="4"/>
      <c r="J28" s="4"/>
      <c r="K28" s="4"/>
    </row>
    <row r="29" spans="1:11" ht="15.75" customHeight="1">
      <c r="A29" s="1">
        <v>9</v>
      </c>
      <c r="B29" s="1" t="s">
        <v>22</v>
      </c>
      <c r="C29" s="1" t="s">
        <v>23</v>
      </c>
      <c r="E29" s="12">
        <v>38</v>
      </c>
      <c r="F29" s="12">
        <v>10</v>
      </c>
      <c r="G29" s="11">
        <v>0</v>
      </c>
      <c r="H29" s="11">
        <v>0</v>
      </c>
      <c r="I29" s="4"/>
      <c r="J29" s="4"/>
      <c r="K29" s="4"/>
    </row>
    <row r="30" spans="1:11" ht="15.75" customHeight="1">
      <c r="A30" s="1">
        <v>9</v>
      </c>
      <c r="B30" s="1" t="s">
        <v>25</v>
      </c>
      <c r="C30" s="1" t="s">
        <v>23</v>
      </c>
      <c r="E30" s="11">
        <v>50</v>
      </c>
      <c r="F30" s="12">
        <v>14</v>
      </c>
      <c r="G30" s="11">
        <v>1</v>
      </c>
      <c r="H30" s="11">
        <v>1</v>
      </c>
      <c r="I30" s="4"/>
      <c r="J30" s="4"/>
      <c r="K30" s="4"/>
    </row>
    <row r="31" spans="1:11" ht="15.75" customHeight="1">
      <c r="A31" s="1">
        <v>9</v>
      </c>
      <c r="B31" s="1" t="s">
        <v>26</v>
      </c>
      <c r="C31" s="1" t="s">
        <v>23</v>
      </c>
      <c r="E31" s="11" t="s">
        <v>24</v>
      </c>
      <c r="F31" s="11">
        <v>63</v>
      </c>
      <c r="G31" s="12">
        <v>13</v>
      </c>
      <c r="H31" s="11">
        <v>0</v>
      </c>
      <c r="I31" s="4"/>
      <c r="J31" s="4"/>
      <c r="K31" s="4"/>
    </row>
    <row r="32" spans="1:11" ht="15.75" customHeight="1">
      <c r="A32" s="1">
        <v>10</v>
      </c>
      <c r="B32" s="1" t="s">
        <v>22</v>
      </c>
      <c r="C32" s="1" t="s">
        <v>23</v>
      </c>
      <c r="D32" s="5"/>
      <c r="E32" s="3" t="s">
        <v>24</v>
      </c>
      <c r="F32" s="12">
        <v>41</v>
      </c>
      <c r="G32" s="12">
        <v>9</v>
      </c>
      <c r="H32" s="11">
        <v>1</v>
      </c>
      <c r="I32" s="4"/>
      <c r="J32" s="4"/>
      <c r="K32" s="4"/>
    </row>
    <row r="33" spans="1:11" ht="15.75" customHeight="1">
      <c r="A33" s="1">
        <v>10</v>
      </c>
      <c r="B33" s="1" t="s">
        <v>25</v>
      </c>
      <c r="C33" s="1" t="s">
        <v>23</v>
      </c>
      <c r="E33" s="11" t="s">
        <v>24</v>
      </c>
      <c r="F33" s="12">
        <v>37</v>
      </c>
      <c r="G33" s="12">
        <v>12</v>
      </c>
      <c r="H33" s="11">
        <v>3</v>
      </c>
      <c r="I33" s="4"/>
      <c r="J33" s="4"/>
      <c r="K33" s="4"/>
    </row>
    <row r="34" spans="1:11" ht="15.75" customHeight="1">
      <c r="A34" s="1">
        <v>10</v>
      </c>
      <c r="B34" s="1" t="s">
        <v>26</v>
      </c>
      <c r="C34" s="1" t="s">
        <v>23</v>
      </c>
      <c r="E34" s="11" t="s">
        <v>24</v>
      </c>
      <c r="F34" s="3" t="s">
        <v>24</v>
      </c>
      <c r="G34" s="12">
        <v>26</v>
      </c>
      <c r="H34" s="12">
        <v>8</v>
      </c>
      <c r="I34" s="4"/>
      <c r="J34" s="4"/>
      <c r="K34" s="4"/>
    </row>
    <row r="35" spans="1:11" ht="15.75" customHeight="1">
      <c r="A35" s="1">
        <v>1</v>
      </c>
      <c r="B35" s="1" t="s">
        <v>22</v>
      </c>
      <c r="C35" s="1" t="s">
        <v>30</v>
      </c>
      <c r="F35" s="1" t="s">
        <v>24</v>
      </c>
      <c r="G35" s="13">
        <v>16</v>
      </c>
      <c r="H35" s="6">
        <v>0</v>
      </c>
      <c r="I35" s="1">
        <v>0</v>
      </c>
      <c r="J35" s="1">
        <v>0</v>
      </c>
      <c r="K35" s="1">
        <v>0</v>
      </c>
    </row>
    <row r="36" spans="1:11" ht="15.75" customHeight="1">
      <c r="A36" s="1">
        <v>1</v>
      </c>
      <c r="B36" s="1" t="s">
        <v>25</v>
      </c>
      <c r="C36" s="1" t="s">
        <v>30</v>
      </c>
      <c r="F36" s="1" t="s">
        <v>24</v>
      </c>
      <c r="G36" s="13">
        <v>15</v>
      </c>
      <c r="H36" s="6">
        <v>2</v>
      </c>
      <c r="I36" s="1">
        <v>0</v>
      </c>
      <c r="J36" s="1">
        <v>0</v>
      </c>
      <c r="K36" s="1">
        <v>0</v>
      </c>
    </row>
    <row r="37" spans="1:11" ht="15.75" customHeight="1">
      <c r="A37" s="1">
        <v>1</v>
      </c>
      <c r="B37" s="1" t="s">
        <v>26</v>
      </c>
      <c r="C37" s="1" t="s">
        <v>30</v>
      </c>
      <c r="F37" s="1" t="s">
        <v>24</v>
      </c>
      <c r="G37" s="13">
        <v>23</v>
      </c>
      <c r="H37" s="13">
        <v>6</v>
      </c>
      <c r="I37" s="1">
        <v>0</v>
      </c>
      <c r="J37" s="1">
        <v>0</v>
      </c>
      <c r="K37" s="1">
        <v>0</v>
      </c>
    </row>
    <row r="38" spans="1:11" ht="15.75" customHeight="1">
      <c r="A38" s="1">
        <v>2</v>
      </c>
      <c r="B38" s="1" t="s">
        <v>22</v>
      </c>
      <c r="C38" s="1" t="s">
        <v>30</v>
      </c>
      <c r="F38" s="1" t="s">
        <v>24</v>
      </c>
      <c r="G38" s="13">
        <v>11</v>
      </c>
      <c r="H38" s="1">
        <v>2</v>
      </c>
      <c r="I38" s="1">
        <v>0</v>
      </c>
      <c r="J38" s="1">
        <v>0</v>
      </c>
      <c r="K38" s="1">
        <v>0</v>
      </c>
    </row>
    <row r="39" spans="1:11" ht="15.75" customHeight="1">
      <c r="A39" s="1">
        <v>2</v>
      </c>
      <c r="B39" s="1" t="s">
        <v>25</v>
      </c>
      <c r="C39" s="1" t="s">
        <v>30</v>
      </c>
      <c r="F39" s="1">
        <v>130</v>
      </c>
      <c r="G39" s="13">
        <v>6</v>
      </c>
      <c r="H39" s="6">
        <v>1</v>
      </c>
      <c r="I39" s="1">
        <v>0</v>
      </c>
      <c r="J39" s="1">
        <v>0</v>
      </c>
      <c r="K39" s="1">
        <v>0</v>
      </c>
    </row>
    <row r="40" spans="1:11" ht="15.75" customHeight="1">
      <c r="A40" s="1">
        <v>2</v>
      </c>
      <c r="B40" s="1" t="s">
        <v>26</v>
      </c>
      <c r="C40" s="1" t="s">
        <v>30</v>
      </c>
      <c r="F40" s="1">
        <v>54</v>
      </c>
      <c r="G40" s="13">
        <v>5</v>
      </c>
      <c r="H40" s="1">
        <v>1</v>
      </c>
      <c r="I40" s="1">
        <v>0</v>
      </c>
      <c r="J40" s="1">
        <v>0</v>
      </c>
      <c r="K40" s="1">
        <v>0</v>
      </c>
    </row>
    <row r="41" spans="1:11" ht="15.75" customHeight="1">
      <c r="A41" s="1">
        <v>3</v>
      </c>
      <c r="B41" s="1" t="s">
        <v>22</v>
      </c>
      <c r="C41" s="1" t="s">
        <v>30</v>
      </c>
      <c r="F41" s="13">
        <v>35</v>
      </c>
      <c r="G41" s="13">
        <v>6</v>
      </c>
      <c r="H41" s="1">
        <v>1</v>
      </c>
      <c r="I41" s="1">
        <v>0</v>
      </c>
      <c r="J41" s="1">
        <v>0</v>
      </c>
      <c r="K41" s="1">
        <v>0</v>
      </c>
    </row>
    <row r="42" spans="1:11" ht="15.75" customHeight="1">
      <c r="A42" s="1">
        <v>3</v>
      </c>
      <c r="B42" s="1" t="s">
        <v>25</v>
      </c>
      <c r="C42" s="1" t="s">
        <v>30</v>
      </c>
      <c r="F42" s="13">
        <v>75</v>
      </c>
      <c r="G42" s="6">
        <v>0</v>
      </c>
      <c r="H42" s="6">
        <v>0</v>
      </c>
      <c r="I42" s="1">
        <v>0</v>
      </c>
      <c r="J42" s="1">
        <v>0</v>
      </c>
      <c r="K42" s="1">
        <v>0</v>
      </c>
    </row>
    <row r="43" spans="1:11" ht="15.75" customHeight="1">
      <c r="A43" s="1">
        <v>3</v>
      </c>
      <c r="B43" s="1" t="s">
        <v>26</v>
      </c>
      <c r="C43" s="1" t="s">
        <v>30</v>
      </c>
      <c r="F43" s="1" t="s">
        <v>24</v>
      </c>
      <c r="G43" s="13">
        <v>49</v>
      </c>
      <c r="H43" s="6">
        <v>0</v>
      </c>
      <c r="I43" s="1">
        <v>1</v>
      </c>
      <c r="J43" s="1">
        <v>0</v>
      </c>
      <c r="K43" s="1">
        <v>0</v>
      </c>
    </row>
    <row r="44" spans="1:11" ht="15.75" customHeight="1">
      <c r="A44" s="1">
        <v>4</v>
      </c>
      <c r="B44" s="1" t="s">
        <v>22</v>
      </c>
      <c r="C44" s="1" t="s">
        <v>30</v>
      </c>
      <c r="F44" s="1" t="s">
        <v>24</v>
      </c>
      <c r="G44" s="13">
        <v>12</v>
      </c>
      <c r="H44" s="6">
        <v>2</v>
      </c>
      <c r="I44" s="1">
        <v>0</v>
      </c>
      <c r="J44" s="1">
        <v>0</v>
      </c>
      <c r="K44" s="1">
        <v>0</v>
      </c>
    </row>
    <row r="45" spans="1:11" ht="15.75" customHeight="1">
      <c r="A45" s="1">
        <v>4</v>
      </c>
      <c r="B45" s="1" t="s">
        <v>25</v>
      </c>
      <c r="C45" s="1" t="s">
        <v>30</v>
      </c>
      <c r="F45" s="1" t="s">
        <v>24</v>
      </c>
      <c r="G45" s="13">
        <v>43</v>
      </c>
      <c r="H45" s="1">
        <v>0</v>
      </c>
      <c r="I45" s="1">
        <v>0</v>
      </c>
      <c r="J45" s="1">
        <v>0</v>
      </c>
      <c r="K45" s="1">
        <v>0</v>
      </c>
    </row>
    <row r="46" spans="1:11" ht="15.75" customHeight="1">
      <c r="A46" s="1">
        <v>4</v>
      </c>
      <c r="B46" s="1" t="s">
        <v>26</v>
      </c>
      <c r="C46" s="1" t="s">
        <v>30</v>
      </c>
      <c r="F46" s="1" t="s">
        <v>24</v>
      </c>
      <c r="G46" s="13">
        <v>51</v>
      </c>
      <c r="H46" s="1">
        <v>0</v>
      </c>
      <c r="I46" s="1">
        <v>0</v>
      </c>
      <c r="J46" s="1">
        <v>0</v>
      </c>
      <c r="K46" s="1">
        <v>0</v>
      </c>
    </row>
    <row r="47" spans="1:11" ht="15.75" customHeight="1">
      <c r="A47" s="1">
        <v>5</v>
      </c>
      <c r="B47" s="1" t="s">
        <v>22</v>
      </c>
      <c r="C47" s="1" t="s">
        <v>30</v>
      </c>
      <c r="F47" s="1" t="s">
        <v>24</v>
      </c>
      <c r="G47" s="13">
        <v>19</v>
      </c>
      <c r="H47" s="6">
        <v>1</v>
      </c>
      <c r="I47" s="1">
        <v>0</v>
      </c>
      <c r="J47" s="1">
        <v>0</v>
      </c>
      <c r="K47" s="1">
        <v>0</v>
      </c>
    </row>
    <row r="48" spans="1:11" ht="15.75" customHeight="1">
      <c r="A48" s="1">
        <v>5</v>
      </c>
      <c r="B48" s="1" t="s">
        <v>25</v>
      </c>
      <c r="C48" s="1" t="s">
        <v>30</v>
      </c>
      <c r="F48" s="1" t="s">
        <v>24</v>
      </c>
      <c r="G48" s="13">
        <v>38</v>
      </c>
      <c r="H48" s="13">
        <v>9</v>
      </c>
      <c r="I48" s="1">
        <v>0</v>
      </c>
      <c r="J48" s="1">
        <v>0</v>
      </c>
      <c r="K48" s="1">
        <v>0</v>
      </c>
    </row>
    <row r="49" spans="1:11" ht="15.75" customHeight="1">
      <c r="A49" s="1">
        <v>5</v>
      </c>
      <c r="B49" s="1" t="s">
        <v>26</v>
      </c>
      <c r="C49" s="1" t="s">
        <v>30</v>
      </c>
      <c r="F49" s="13">
        <v>41</v>
      </c>
      <c r="G49" s="6">
        <v>1</v>
      </c>
      <c r="H49" s="1">
        <v>0</v>
      </c>
      <c r="I49" s="1">
        <v>0</v>
      </c>
      <c r="J49" s="1">
        <v>0</v>
      </c>
      <c r="K49" s="1">
        <v>0</v>
      </c>
    </row>
    <row r="50" spans="1:11" ht="15.75" customHeight="1">
      <c r="A50" s="1">
        <v>6</v>
      </c>
      <c r="B50" s="1" t="s">
        <v>22</v>
      </c>
      <c r="C50" s="1" t="s">
        <v>30</v>
      </c>
      <c r="F50" s="1" t="s">
        <v>24</v>
      </c>
      <c r="G50" s="1">
        <v>74</v>
      </c>
      <c r="H50" s="13">
        <v>13</v>
      </c>
      <c r="I50" s="1">
        <v>2</v>
      </c>
      <c r="J50" s="1">
        <v>1</v>
      </c>
      <c r="K50" s="1">
        <v>0</v>
      </c>
    </row>
    <row r="51" spans="1:11" ht="15.75" customHeight="1">
      <c r="A51" s="1">
        <v>6</v>
      </c>
      <c r="B51" s="1" t="s">
        <v>25</v>
      </c>
      <c r="C51" s="1" t="s">
        <v>30</v>
      </c>
      <c r="F51" s="1" t="s">
        <v>24</v>
      </c>
      <c r="G51" s="1">
        <v>64</v>
      </c>
      <c r="H51" s="13">
        <v>6</v>
      </c>
      <c r="I51" s="1">
        <v>0</v>
      </c>
      <c r="J51" s="1">
        <v>0</v>
      </c>
      <c r="K51" s="1">
        <v>0</v>
      </c>
    </row>
    <row r="52" spans="1:11" ht="15.75" customHeight="1">
      <c r="A52" s="1">
        <v>6</v>
      </c>
      <c r="B52" s="1" t="s">
        <v>26</v>
      </c>
      <c r="C52" s="1" t="s">
        <v>30</v>
      </c>
      <c r="F52" s="1" t="s">
        <v>24</v>
      </c>
      <c r="G52" s="1">
        <v>54</v>
      </c>
      <c r="H52" s="13">
        <v>5</v>
      </c>
      <c r="I52" s="1">
        <v>0</v>
      </c>
      <c r="J52" s="1">
        <v>0</v>
      </c>
      <c r="K52" s="1">
        <v>0</v>
      </c>
    </row>
    <row r="53" spans="1:11" ht="15.75" customHeight="1">
      <c r="A53" s="1">
        <v>7</v>
      </c>
      <c r="B53" s="1" t="s">
        <v>22</v>
      </c>
      <c r="C53" s="1" t="s">
        <v>30</v>
      </c>
      <c r="F53" s="1">
        <v>58</v>
      </c>
      <c r="G53" s="13">
        <v>14</v>
      </c>
      <c r="H53" s="1">
        <v>3</v>
      </c>
      <c r="I53" s="1">
        <v>0</v>
      </c>
      <c r="J53" s="1">
        <v>0</v>
      </c>
      <c r="K53" s="1">
        <v>0</v>
      </c>
    </row>
    <row r="54" spans="1:11" ht="15.75" customHeight="1">
      <c r="A54" s="1">
        <v>7</v>
      </c>
      <c r="B54" s="1" t="s">
        <v>25</v>
      </c>
      <c r="C54" s="1" t="s">
        <v>30</v>
      </c>
      <c r="F54" s="1">
        <v>104</v>
      </c>
      <c r="G54" s="13">
        <v>11</v>
      </c>
      <c r="H54" s="1">
        <v>3</v>
      </c>
      <c r="I54" s="1">
        <v>0</v>
      </c>
      <c r="J54" s="1">
        <v>0</v>
      </c>
      <c r="K54" s="1">
        <v>0</v>
      </c>
    </row>
    <row r="55" spans="1:11" ht="15.75" customHeight="1">
      <c r="A55" s="1">
        <v>7</v>
      </c>
      <c r="B55" s="1" t="s">
        <v>26</v>
      </c>
      <c r="C55" s="1" t="s">
        <v>30</v>
      </c>
      <c r="F55" s="1" t="s">
        <v>24</v>
      </c>
      <c r="G55" s="13">
        <v>44</v>
      </c>
      <c r="H55" s="1">
        <v>3</v>
      </c>
      <c r="I55" s="1">
        <v>4</v>
      </c>
      <c r="J55" s="1">
        <v>0</v>
      </c>
      <c r="K55" s="1">
        <v>0</v>
      </c>
    </row>
    <row r="56" spans="1:11" ht="15.75" customHeight="1">
      <c r="A56" s="1">
        <v>8</v>
      </c>
      <c r="B56" s="1" t="s">
        <v>22</v>
      </c>
      <c r="C56" s="1" t="s">
        <v>30</v>
      </c>
      <c r="F56" s="13">
        <v>36</v>
      </c>
      <c r="G56" s="6">
        <v>5</v>
      </c>
      <c r="H56" s="6">
        <v>1</v>
      </c>
      <c r="I56" s="1">
        <v>0</v>
      </c>
      <c r="J56" s="1">
        <v>0</v>
      </c>
      <c r="K56" s="1">
        <v>0</v>
      </c>
    </row>
    <row r="57" spans="1:11" ht="15.75" customHeight="1">
      <c r="A57" s="1">
        <v>8</v>
      </c>
      <c r="B57" s="1" t="s">
        <v>25</v>
      </c>
      <c r="C57" s="1" t="s">
        <v>30</v>
      </c>
      <c r="F57" s="13">
        <v>34</v>
      </c>
      <c r="G57" s="6">
        <v>2</v>
      </c>
      <c r="H57" s="1">
        <v>0</v>
      </c>
      <c r="I57" s="1">
        <v>0</v>
      </c>
      <c r="J57" s="1">
        <v>0</v>
      </c>
      <c r="K57" s="1">
        <v>0</v>
      </c>
    </row>
    <row r="58" spans="1:11" ht="15.75" customHeight="1">
      <c r="A58" s="1">
        <v>8</v>
      </c>
      <c r="B58" s="1" t="s">
        <v>26</v>
      </c>
      <c r="C58" s="1" t="s">
        <v>30</v>
      </c>
      <c r="F58" s="1" t="s">
        <v>24</v>
      </c>
      <c r="G58" s="6">
        <v>73</v>
      </c>
      <c r="H58" s="13">
        <v>11</v>
      </c>
      <c r="I58" s="1">
        <v>0</v>
      </c>
      <c r="J58" s="1">
        <v>0</v>
      </c>
      <c r="K58" s="1">
        <v>0</v>
      </c>
    </row>
    <row r="59" spans="1:11" ht="15.75" customHeight="1">
      <c r="A59" s="1">
        <v>9</v>
      </c>
      <c r="B59" s="1" t="s">
        <v>22</v>
      </c>
      <c r="C59" s="1" t="s">
        <v>30</v>
      </c>
      <c r="F59" s="13">
        <v>36</v>
      </c>
      <c r="G59" s="13">
        <v>12</v>
      </c>
      <c r="H59" s="1">
        <v>2</v>
      </c>
      <c r="I59" s="1">
        <v>0</v>
      </c>
      <c r="J59" s="1">
        <v>0</v>
      </c>
      <c r="K59" s="1">
        <v>0</v>
      </c>
    </row>
    <row r="60" spans="1:11" ht="15.75" customHeight="1">
      <c r="A60" s="1">
        <v>9</v>
      </c>
      <c r="B60" s="1" t="s">
        <v>25</v>
      </c>
      <c r="C60" s="1" t="s">
        <v>30</v>
      </c>
      <c r="F60" s="1">
        <v>17</v>
      </c>
      <c r="G60" s="13">
        <v>16</v>
      </c>
      <c r="H60" s="1">
        <v>1</v>
      </c>
      <c r="I60" s="1">
        <v>0</v>
      </c>
      <c r="J60" s="1">
        <v>0</v>
      </c>
      <c r="K60" s="1">
        <v>0</v>
      </c>
    </row>
    <row r="61" spans="1:11" ht="15.75" customHeight="1">
      <c r="A61" s="1">
        <v>9</v>
      </c>
      <c r="B61" s="1" t="s">
        <v>26</v>
      </c>
      <c r="C61" s="1" t="s">
        <v>30</v>
      </c>
      <c r="F61" s="1" t="s">
        <v>24</v>
      </c>
      <c r="G61" s="13">
        <v>19</v>
      </c>
      <c r="H61" s="6">
        <v>2</v>
      </c>
      <c r="I61" s="1">
        <v>0</v>
      </c>
      <c r="J61" s="1">
        <v>0</v>
      </c>
      <c r="K61" s="1">
        <v>0</v>
      </c>
    </row>
    <row r="62" spans="1:11" ht="15.75" customHeight="1">
      <c r="A62" s="1">
        <v>10</v>
      </c>
      <c r="B62" s="1" t="s">
        <v>22</v>
      </c>
      <c r="C62" s="1" t="s">
        <v>30</v>
      </c>
      <c r="F62" s="1" t="s">
        <v>24</v>
      </c>
      <c r="G62" s="13">
        <v>31</v>
      </c>
      <c r="H62" s="1">
        <v>3</v>
      </c>
      <c r="I62" s="1">
        <v>0</v>
      </c>
      <c r="J62" s="1">
        <v>0</v>
      </c>
      <c r="K62" s="1">
        <v>0</v>
      </c>
    </row>
    <row r="63" spans="1:11" ht="15.75" customHeight="1">
      <c r="A63" s="1">
        <v>10</v>
      </c>
      <c r="B63" s="1" t="s">
        <v>25</v>
      </c>
      <c r="C63" s="1" t="s">
        <v>30</v>
      </c>
      <c r="F63" s="1" t="s">
        <v>24</v>
      </c>
      <c r="G63" s="13">
        <v>14</v>
      </c>
      <c r="H63" s="1">
        <v>0</v>
      </c>
      <c r="I63" s="1">
        <v>0</v>
      </c>
      <c r="J63" s="1">
        <v>0</v>
      </c>
      <c r="K63" s="1">
        <v>0</v>
      </c>
    </row>
    <row r="64" spans="1:11" ht="15.75" customHeight="1">
      <c r="A64" s="1">
        <v>10</v>
      </c>
      <c r="B64" s="1" t="s">
        <v>26</v>
      </c>
      <c r="C64" s="1" t="s">
        <v>30</v>
      </c>
      <c r="F64" s="1" t="s">
        <v>24</v>
      </c>
      <c r="G64" s="13">
        <v>23</v>
      </c>
      <c r="H64" s="1">
        <v>0</v>
      </c>
      <c r="I64" s="1">
        <v>0</v>
      </c>
      <c r="J64" s="1">
        <v>0</v>
      </c>
      <c r="K64" s="1">
        <v>0</v>
      </c>
    </row>
    <row r="66" spans="6:8" ht="15.75" customHeight="1">
      <c r="F66" s="1" t="s">
        <v>16</v>
      </c>
      <c r="G66" s="1" t="s">
        <v>17</v>
      </c>
      <c r="H66" s="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56"/>
  <sheetViews>
    <sheetView workbookViewId="0"/>
  </sheetViews>
  <sheetFormatPr baseColWidth="10" defaultColWidth="14.5" defaultRowHeight="15.75" customHeight="1"/>
  <sheetData>
    <row r="1" spans="1:12" ht="15.75" customHeight="1">
      <c r="A1" s="14" t="s">
        <v>31</v>
      </c>
      <c r="B1" s="15" t="s">
        <v>32</v>
      </c>
      <c r="C1" s="16"/>
      <c r="D1" s="17" t="s">
        <v>33</v>
      </c>
      <c r="E1" s="18"/>
      <c r="F1" s="19"/>
      <c r="G1" s="19"/>
      <c r="H1" s="19"/>
      <c r="I1" s="19"/>
      <c r="J1" s="19"/>
      <c r="K1" s="19"/>
      <c r="L1" s="19"/>
    </row>
    <row r="2" spans="1:12">
      <c r="A2" s="20" t="s">
        <v>34</v>
      </c>
      <c r="B2" s="21" t="s">
        <v>35</v>
      </c>
      <c r="C2" s="16"/>
      <c r="D2" s="20" t="s">
        <v>36</v>
      </c>
      <c r="E2" s="18"/>
      <c r="F2" s="19"/>
      <c r="G2" s="19"/>
      <c r="H2" s="19"/>
      <c r="I2" s="19"/>
      <c r="J2" s="19"/>
      <c r="K2" s="19"/>
      <c r="L2" s="19"/>
    </row>
    <row r="3" spans="1:12" ht="15.75" customHeight="1">
      <c r="A3" s="20" t="s">
        <v>37</v>
      </c>
      <c r="B3" s="22"/>
      <c r="C3" s="16"/>
      <c r="D3" s="20" t="s">
        <v>38</v>
      </c>
      <c r="E3" s="22"/>
      <c r="F3" s="19"/>
      <c r="G3" s="19"/>
      <c r="H3" s="19"/>
      <c r="I3" s="19"/>
      <c r="J3" s="19"/>
      <c r="K3" s="19"/>
      <c r="L3" s="19"/>
    </row>
    <row r="4" spans="1:12" ht="15.75" customHeight="1">
      <c r="A4" s="20" t="s">
        <v>39</v>
      </c>
      <c r="B4" s="16" t="s">
        <v>40</v>
      </c>
      <c r="C4" s="16"/>
      <c r="D4" s="20" t="s">
        <v>41</v>
      </c>
      <c r="E4" s="20" t="s">
        <v>42</v>
      </c>
      <c r="F4" s="19"/>
      <c r="G4" s="19"/>
      <c r="H4" s="19"/>
      <c r="I4" s="19"/>
      <c r="J4" s="19"/>
      <c r="K4" s="19"/>
      <c r="L4" s="19"/>
    </row>
    <row r="5" spans="1:12" ht="15.75" customHeight="1">
      <c r="A5" s="20" t="s">
        <v>43</v>
      </c>
      <c r="B5" s="23">
        <v>5</v>
      </c>
      <c r="C5" s="16"/>
      <c r="D5" s="20" t="s">
        <v>44</v>
      </c>
      <c r="E5" s="24">
        <v>0.5</v>
      </c>
      <c r="F5" s="19"/>
      <c r="G5" s="19"/>
      <c r="H5" s="19"/>
      <c r="I5" s="19"/>
      <c r="J5" s="19"/>
      <c r="K5" s="19"/>
      <c r="L5" s="19"/>
    </row>
    <row r="6" spans="1:12" ht="15.75" customHeight="1">
      <c r="A6" s="20" t="s">
        <v>45</v>
      </c>
      <c r="B6" s="16" t="s">
        <v>23</v>
      </c>
      <c r="C6" s="16"/>
      <c r="D6" s="20"/>
      <c r="E6" s="20"/>
      <c r="F6" s="19"/>
      <c r="G6" s="19"/>
      <c r="H6" s="19"/>
      <c r="I6" s="19"/>
      <c r="J6" s="19"/>
      <c r="K6" s="19"/>
      <c r="L6" s="19"/>
    </row>
    <row r="7" spans="1:12" ht="15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15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ht="15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15.75" customHeight="1">
      <c r="A10" s="19"/>
      <c r="B10" s="25" t="s">
        <v>23</v>
      </c>
      <c r="C10" s="25"/>
      <c r="D10" s="25"/>
      <c r="E10" s="25"/>
      <c r="F10" s="25"/>
      <c r="G10" s="25"/>
      <c r="H10" s="25"/>
      <c r="I10" s="19"/>
      <c r="J10" s="19"/>
      <c r="K10" s="19"/>
      <c r="L10" s="19"/>
    </row>
    <row r="11" spans="1:12" ht="15.75" customHeight="1">
      <c r="A11" s="19"/>
      <c r="B11" s="26" t="s">
        <v>46</v>
      </c>
      <c r="C11" s="26" t="s">
        <v>47</v>
      </c>
      <c r="D11" s="26" t="s">
        <v>48</v>
      </c>
      <c r="E11" s="16"/>
      <c r="F11" s="27" t="s">
        <v>23</v>
      </c>
      <c r="G11" s="16"/>
      <c r="H11" s="16"/>
      <c r="I11" s="19"/>
      <c r="J11" s="19"/>
      <c r="K11" s="19"/>
      <c r="L11" s="19"/>
    </row>
    <row r="12" spans="1:12" ht="15.75" customHeight="1">
      <c r="A12" s="19"/>
      <c r="B12" s="28" t="s">
        <v>49</v>
      </c>
      <c r="C12" s="28" t="s">
        <v>50</v>
      </c>
      <c r="D12" s="28" t="s">
        <v>51</v>
      </c>
      <c r="E12" s="28" t="s">
        <v>52</v>
      </c>
      <c r="F12" s="28" t="s">
        <v>53</v>
      </c>
      <c r="G12" s="28" t="s">
        <v>54</v>
      </c>
      <c r="H12" s="1" t="s">
        <v>55</v>
      </c>
      <c r="I12" s="28" t="s">
        <v>56</v>
      </c>
      <c r="J12" s="19"/>
      <c r="K12" s="29" t="s">
        <v>57</v>
      </c>
      <c r="L12" s="19" t="s">
        <v>55</v>
      </c>
    </row>
    <row r="13" spans="1:12">
      <c r="A13" s="30">
        <v>1</v>
      </c>
      <c r="B13" s="30" t="s">
        <v>22</v>
      </c>
      <c r="C13" s="31">
        <v>16</v>
      </c>
      <c r="D13" s="32">
        <v>3</v>
      </c>
      <c r="E13" s="33">
        <f t="shared" ref="E13:E53" si="0">(C13*$B$5^D13*10)*$E$5</f>
        <v>10000</v>
      </c>
      <c r="F13" s="34">
        <v>0.5</v>
      </c>
      <c r="G13" s="35">
        <f t="shared" ref="G13:G53" si="1">E13/F13</f>
        <v>20000</v>
      </c>
      <c r="H13" s="36"/>
      <c r="I13" s="34">
        <f t="shared" ref="I13:I20" si="2">LOG(G13)</f>
        <v>4.3010299956639813</v>
      </c>
      <c r="J13" s="19"/>
      <c r="K13" s="37">
        <v>1</v>
      </c>
      <c r="L13" s="37">
        <f>AVERAGE(I13:I15)</f>
        <v>4.1913437559092399</v>
      </c>
    </row>
    <row r="14" spans="1:12">
      <c r="A14" s="30">
        <v>1</v>
      </c>
      <c r="B14" s="30" t="s">
        <v>25</v>
      </c>
      <c r="C14" s="31">
        <v>25</v>
      </c>
      <c r="D14" s="32">
        <v>2</v>
      </c>
      <c r="E14" s="33">
        <f t="shared" si="0"/>
        <v>3125</v>
      </c>
      <c r="F14" s="34">
        <v>0.5</v>
      </c>
      <c r="G14" s="33">
        <f t="shared" si="1"/>
        <v>6250</v>
      </c>
      <c r="H14" s="36"/>
      <c r="I14" s="34">
        <f t="shared" si="2"/>
        <v>3.7958800173440754</v>
      </c>
      <c r="J14" s="19"/>
      <c r="K14" s="37">
        <v>2</v>
      </c>
      <c r="L14" s="37">
        <f>AVERAGE(I16:I18)</f>
        <v>3.9069780458853063</v>
      </c>
    </row>
    <row r="15" spans="1:12">
      <c r="A15" s="30">
        <v>1</v>
      </c>
      <c r="B15" s="30" t="s">
        <v>26</v>
      </c>
      <c r="C15" s="31">
        <v>24</v>
      </c>
      <c r="D15" s="32">
        <v>3</v>
      </c>
      <c r="E15" s="33">
        <f t="shared" si="0"/>
        <v>15000</v>
      </c>
      <c r="F15" s="34">
        <v>0.5</v>
      </c>
      <c r="G15" s="33">
        <f t="shared" si="1"/>
        <v>30000</v>
      </c>
      <c r="H15" s="36"/>
      <c r="I15" s="34">
        <f t="shared" si="2"/>
        <v>4.4771212547196626</v>
      </c>
      <c r="J15" s="19"/>
      <c r="K15" s="37">
        <v>3</v>
      </c>
      <c r="L15" s="37">
        <f>AVERAGE(I19:I22)</f>
        <v>3.9097637909821432</v>
      </c>
    </row>
    <row r="16" spans="1:12" ht="15.75" customHeight="1">
      <c r="A16" s="38">
        <v>2</v>
      </c>
      <c r="B16" s="38" t="s">
        <v>22</v>
      </c>
      <c r="C16" s="39">
        <v>33</v>
      </c>
      <c r="D16" s="39">
        <v>2</v>
      </c>
      <c r="E16" s="40">
        <f t="shared" si="0"/>
        <v>4125</v>
      </c>
      <c r="F16" s="41">
        <v>0.5</v>
      </c>
      <c r="G16" s="42">
        <f t="shared" si="1"/>
        <v>8250</v>
      </c>
      <c r="I16" s="28">
        <f t="shared" si="2"/>
        <v>3.916453948549925</v>
      </c>
      <c r="J16" s="19"/>
      <c r="K16" s="37">
        <v>4</v>
      </c>
      <c r="L16" s="37">
        <f>AVERAGE(I23:I26)</f>
        <v>3.797033528047244</v>
      </c>
    </row>
    <row r="17" spans="1:12" ht="15.75" customHeight="1">
      <c r="A17" s="43">
        <v>2</v>
      </c>
      <c r="B17" s="43" t="s">
        <v>25</v>
      </c>
      <c r="C17" s="39">
        <v>17</v>
      </c>
      <c r="D17" s="39">
        <v>2</v>
      </c>
      <c r="E17" s="40">
        <f t="shared" si="0"/>
        <v>2125</v>
      </c>
      <c r="F17" s="41">
        <v>0.5</v>
      </c>
      <c r="G17" s="42">
        <f t="shared" si="1"/>
        <v>4250</v>
      </c>
      <c r="I17" s="28">
        <f t="shared" si="2"/>
        <v>3.6283889300503116</v>
      </c>
      <c r="J17" s="19"/>
      <c r="K17" s="37">
        <v>5</v>
      </c>
      <c r="L17" s="37">
        <f>AVERAGE(I27:I31)</f>
        <v>3.5959603090955103</v>
      </c>
    </row>
    <row r="18" spans="1:12" ht="15.75" customHeight="1">
      <c r="A18" s="44">
        <v>2</v>
      </c>
      <c r="B18" s="44" t="s">
        <v>26</v>
      </c>
      <c r="C18" s="45">
        <v>12</v>
      </c>
      <c r="D18" s="45">
        <v>3</v>
      </c>
      <c r="E18" s="40">
        <f t="shared" si="0"/>
        <v>7500</v>
      </c>
      <c r="F18" s="41">
        <v>0.5</v>
      </c>
      <c r="G18" s="42">
        <f t="shared" si="1"/>
        <v>15000</v>
      </c>
      <c r="I18" s="28">
        <f t="shared" si="2"/>
        <v>4.1760912590556813</v>
      </c>
      <c r="J18" s="19"/>
      <c r="K18" s="37">
        <v>6</v>
      </c>
      <c r="L18" s="37">
        <f>AVERAGE(I32:I35)</f>
        <v>4.6023424593732907</v>
      </c>
    </row>
    <row r="19" spans="1:12" ht="15.75" customHeight="1">
      <c r="A19" s="46">
        <v>3</v>
      </c>
      <c r="B19" s="46" t="s">
        <v>22</v>
      </c>
      <c r="C19" s="47">
        <v>43</v>
      </c>
      <c r="D19" s="47">
        <v>1</v>
      </c>
      <c r="E19" s="33">
        <f t="shared" si="0"/>
        <v>1075</v>
      </c>
      <c r="F19" s="34">
        <v>0.5</v>
      </c>
      <c r="G19" s="33">
        <f t="shared" si="1"/>
        <v>2150</v>
      </c>
      <c r="H19" s="36"/>
      <c r="I19" s="34">
        <f t="shared" si="2"/>
        <v>3.3324384599156054</v>
      </c>
      <c r="J19" s="19"/>
      <c r="K19" s="37">
        <v>7</v>
      </c>
      <c r="L19" s="37">
        <f>AVERAGE(I36:I39)</f>
        <v>3.5980464519225914</v>
      </c>
    </row>
    <row r="20" spans="1:12" ht="15.75" customHeight="1">
      <c r="A20" s="30">
        <v>3</v>
      </c>
      <c r="B20" s="30" t="s">
        <v>25</v>
      </c>
      <c r="C20" s="48">
        <v>21</v>
      </c>
      <c r="D20" s="48">
        <v>2</v>
      </c>
      <c r="E20" s="33">
        <f t="shared" si="0"/>
        <v>2625</v>
      </c>
      <c r="F20" s="34">
        <v>0.5</v>
      </c>
      <c r="G20" s="33">
        <f t="shared" si="1"/>
        <v>5250</v>
      </c>
      <c r="H20" s="36"/>
      <c r="I20" s="34">
        <f t="shared" si="2"/>
        <v>3.720159303405957</v>
      </c>
      <c r="J20" s="19"/>
      <c r="K20" s="37">
        <v>8</v>
      </c>
      <c r="L20" s="37">
        <f>AVERAGE(I40:I43)</f>
        <v>3.9355346275786158</v>
      </c>
    </row>
    <row r="21" spans="1:12" ht="15.75" customHeight="1">
      <c r="A21" s="30">
        <v>3</v>
      </c>
      <c r="B21" s="30" t="s">
        <v>26</v>
      </c>
      <c r="C21" s="48">
        <v>31</v>
      </c>
      <c r="D21" s="48">
        <v>3</v>
      </c>
      <c r="E21" s="33">
        <f t="shared" si="0"/>
        <v>19375</v>
      </c>
      <c r="F21" s="34">
        <v>0.5</v>
      </c>
      <c r="G21" s="33">
        <f t="shared" si="1"/>
        <v>38750</v>
      </c>
      <c r="H21" s="49">
        <f>AVERAGE(G21:G22)</f>
        <v>47500</v>
      </c>
      <c r="I21" s="34">
        <f>LOG(H21)</f>
        <v>4.6766936096248664</v>
      </c>
      <c r="J21" s="19"/>
      <c r="K21" s="37">
        <v>9</v>
      </c>
      <c r="L21" s="37">
        <f>AVERAGE(I44:I47)</f>
        <v>3.6991146968291253</v>
      </c>
    </row>
    <row r="22" spans="1:12" ht="15.75" customHeight="1">
      <c r="A22" s="50">
        <v>3</v>
      </c>
      <c r="B22" s="51"/>
      <c r="C22" s="50">
        <v>9</v>
      </c>
      <c r="D22" s="50">
        <v>4</v>
      </c>
      <c r="E22" s="33">
        <f t="shared" si="0"/>
        <v>28125</v>
      </c>
      <c r="F22" s="34">
        <v>0.5</v>
      </c>
      <c r="G22" s="33">
        <f t="shared" si="1"/>
        <v>56250</v>
      </c>
      <c r="H22" s="36"/>
      <c r="I22" s="34"/>
      <c r="J22" s="19"/>
      <c r="K22" s="37">
        <v>10</v>
      </c>
      <c r="L22" s="37">
        <f>AVERAGE(I48:I52)</f>
        <v>4.2435047214706234</v>
      </c>
    </row>
    <row r="23" spans="1:12" ht="15.75" customHeight="1">
      <c r="A23" s="38">
        <v>4</v>
      </c>
      <c r="B23" s="38" t="s">
        <v>22</v>
      </c>
      <c r="C23" s="52">
        <v>6</v>
      </c>
      <c r="D23" s="52">
        <v>3</v>
      </c>
      <c r="E23" s="40">
        <f t="shared" si="0"/>
        <v>3750</v>
      </c>
      <c r="F23" s="41">
        <v>0.5</v>
      </c>
      <c r="G23" s="42">
        <f t="shared" si="1"/>
        <v>7500</v>
      </c>
      <c r="I23" s="41">
        <f>LOG(G23)</f>
        <v>3.8750612633917001</v>
      </c>
      <c r="J23" s="19"/>
      <c r="K23" s="19"/>
      <c r="L23" s="19"/>
    </row>
    <row r="24" spans="1:12" ht="15.75" customHeight="1">
      <c r="A24" s="43">
        <v>4</v>
      </c>
      <c r="B24" s="43" t="s">
        <v>25</v>
      </c>
      <c r="C24" s="45">
        <v>30</v>
      </c>
      <c r="D24" s="45">
        <v>1</v>
      </c>
      <c r="E24" s="40">
        <f t="shared" si="0"/>
        <v>750</v>
      </c>
      <c r="F24" s="41">
        <v>0.5</v>
      </c>
      <c r="G24" s="42">
        <f t="shared" si="1"/>
        <v>1500</v>
      </c>
      <c r="H24" s="53">
        <f>AVERAGE(G24:G25)</f>
        <v>1750</v>
      </c>
      <c r="I24" s="41">
        <f>LOG(H24)</f>
        <v>3.2430380486862944</v>
      </c>
      <c r="J24" s="19"/>
      <c r="K24" s="19"/>
      <c r="L24" s="19"/>
    </row>
    <row r="25" spans="1:12" ht="15.75" customHeight="1">
      <c r="A25" s="44"/>
      <c r="B25" s="44"/>
      <c r="C25" s="45">
        <v>8</v>
      </c>
      <c r="D25" s="45">
        <v>2</v>
      </c>
      <c r="E25" s="40">
        <f t="shared" si="0"/>
        <v>1000</v>
      </c>
      <c r="F25" s="41">
        <v>0.5</v>
      </c>
      <c r="G25" s="42">
        <f t="shared" si="1"/>
        <v>2000</v>
      </c>
      <c r="I25" s="41"/>
      <c r="J25" s="19"/>
      <c r="K25" s="19"/>
      <c r="L25" s="19"/>
    </row>
    <row r="26" spans="1:12" ht="15.75" customHeight="1">
      <c r="A26" s="43">
        <v>4</v>
      </c>
      <c r="B26" s="43" t="s">
        <v>26</v>
      </c>
      <c r="C26" s="45">
        <v>15</v>
      </c>
      <c r="D26" s="45">
        <v>3</v>
      </c>
      <c r="E26" s="40">
        <f t="shared" si="0"/>
        <v>9375</v>
      </c>
      <c r="F26" s="41">
        <v>0.5</v>
      </c>
      <c r="G26" s="42">
        <f t="shared" si="1"/>
        <v>18750</v>
      </c>
      <c r="I26" s="41">
        <f>LOG(G26)</f>
        <v>4.2730012720637376</v>
      </c>
      <c r="J26" s="19"/>
      <c r="K26" s="19"/>
      <c r="L26" s="19"/>
    </row>
    <row r="27" spans="1:12" ht="15.75" customHeight="1">
      <c r="A27" s="30">
        <v>5</v>
      </c>
      <c r="B27" s="30" t="s">
        <v>22</v>
      </c>
      <c r="C27" s="48">
        <v>21</v>
      </c>
      <c r="D27" s="48">
        <v>1</v>
      </c>
      <c r="E27" s="33">
        <f t="shared" si="0"/>
        <v>525</v>
      </c>
      <c r="F27" s="34">
        <v>0.5</v>
      </c>
      <c r="G27" s="33">
        <f t="shared" si="1"/>
        <v>1050</v>
      </c>
      <c r="H27" s="54">
        <f>AVERAGE(G27:G28)</f>
        <v>1275</v>
      </c>
      <c r="I27" s="34">
        <f>LOG(H27)</f>
        <v>3.1055101847699738</v>
      </c>
      <c r="J27" s="19"/>
      <c r="K27" s="19"/>
      <c r="L27" s="19"/>
    </row>
    <row r="28" spans="1:12" ht="15.75" customHeight="1">
      <c r="A28" s="51"/>
      <c r="B28" s="51"/>
      <c r="C28" s="50">
        <v>6</v>
      </c>
      <c r="D28" s="50">
        <v>2</v>
      </c>
      <c r="E28" s="33">
        <f t="shared" si="0"/>
        <v>750</v>
      </c>
      <c r="F28" s="34">
        <v>0.5</v>
      </c>
      <c r="G28" s="33">
        <f t="shared" si="1"/>
        <v>1500</v>
      </c>
      <c r="H28" s="51"/>
      <c r="I28" s="51"/>
      <c r="J28" s="19"/>
      <c r="K28" s="19"/>
      <c r="L28" s="19"/>
    </row>
    <row r="29" spans="1:12" ht="15.75" customHeight="1">
      <c r="A29" s="30">
        <v>5</v>
      </c>
      <c r="B29" s="30" t="s">
        <v>25</v>
      </c>
      <c r="C29" s="48">
        <v>35</v>
      </c>
      <c r="D29" s="48">
        <v>1</v>
      </c>
      <c r="E29" s="33">
        <f t="shared" si="0"/>
        <v>875</v>
      </c>
      <c r="F29" s="34">
        <v>0.5</v>
      </c>
      <c r="G29" s="33">
        <f t="shared" si="1"/>
        <v>1750</v>
      </c>
      <c r="H29" s="54">
        <f>AVERAGE(G29:G30)</f>
        <v>2750</v>
      </c>
      <c r="I29" s="34">
        <f>LOG(H29)</f>
        <v>3.4393326938302629</v>
      </c>
      <c r="J29" s="19"/>
      <c r="K29" s="19"/>
      <c r="L29" s="19"/>
    </row>
    <row r="30" spans="1:12" ht="15.75" customHeight="1">
      <c r="A30" s="51"/>
      <c r="B30" s="51"/>
      <c r="C30" s="50">
        <v>15</v>
      </c>
      <c r="D30" s="50">
        <v>2</v>
      </c>
      <c r="E30" s="33">
        <f t="shared" si="0"/>
        <v>1875</v>
      </c>
      <c r="F30" s="34">
        <v>0.5</v>
      </c>
      <c r="G30" s="33">
        <f t="shared" si="1"/>
        <v>3750</v>
      </c>
      <c r="H30" s="51"/>
      <c r="I30" s="51"/>
      <c r="J30" s="19"/>
      <c r="K30" s="19"/>
      <c r="L30" s="19"/>
    </row>
    <row r="31" spans="1:12" ht="15.75" customHeight="1">
      <c r="A31" s="30">
        <v>5</v>
      </c>
      <c r="B31" s="30" t="s">
        <v>26</v>
      </c>
      <c r="C31" s="48">
        <v>14</v>
      </c>
      <c r="D31" s="48">
        <v>3</v>
      </c>
      <c r="E31" s="33">
        <f t="shared" si="0"/>
        <v>8750</v>
      </c>
      <c r="F31" s="34">
        <v>0.5</v>
      </c>
      <c r="G31" s="33">
        <f t="shared" si="1"/>
        <v>17500</v>
      </c>
      <c r="H31" s="51"/>
      <c r="I31" s="34">
        <f t="shared" ref="I31:I32" si="3">LOG(G31)</f>
        <v>4.2430380486862944</v>
      </c>
      <c r="J31" s="19"/>
      <c r="K31" s="19"/>
      <c r="L31" s="19"/>
    </row>
    <row r="32" spans="1:12" ht="15.75" customHeight="1">
      <c r="A32" s="38">
        <v>6</v>
      </c>
      <c r="B32" s="38" t="s">
        <v>22</v>
      </c>
      <c r="C32" s="45">
        <v>38</v>
      </c>
      <c r="D32" s="45">
        <v>3</v>
      </c>
      <c r="E32" s="42">
        <f t="shared" si="0"/>
        <v>23750</v>
      </c>
      <c r="F32" s="28">
        <v>0.5</v>
      </c>
      <c r="G32" s="42">
        <f t="shared" si="1"/>
        <v>47500</v>
      </c>
      <c r="I32" s="41">
        <f t="shared" si="3"/>
        <v>4.6766936096248664</v>
      </c>
      <c r="J32" s="19"/>
      <c r="K32" s="19"/>
      <c r="L32" s="19"/>
    </row>
    <row r="33" spans="1:12" ht="15.75" customHeight="1">
      <c r="A33" s="38">
        <v>6</v>
      </c>
      <c r="B33" s="38" t="s">
        <v>25</v>
      </c>
      <c r="C33" s="45">
        <v>34</v>
      </c>
      <c r="D33" s="45">
        <v>3</v>
      </c>
      <c r="E33" s="42">
        <f t="shared" si="0"/>
        <v>21250</v>
      </c>
      <c r="F33" s="28">
        <v>0.5</v>
      </c>
      <c r="G33" s="42">
        <f t="shared" si="1"/>
        <v>42500</v>
      </c>
      <c r="H33" s="53">
        <f>AVERAGE(G33:G34)</f>
        <v>40000</v>
      </c>
      <c r="I33" s="41">
        <f>LOG(H33)</f>
        <v>4.6020599913279625</v>
      </c>
      <c r="J33" s="19"/>
      <c r="K33" s="19"/>
      <c r="L33" s="19"/>
    </row>
    <row r="34" spans="1:12" ht="15.75" customHeight="1">
      <c r="A34" s="55"/>
      <c r="B34" s="55"/>
      <c r="C34" s="56">
        <v>6</v>
      </c>
      <c r="D34" s="56">
        <v>4</v>
      </c>
      <c r="E34" s="42">
        <f t="shared" si="0"/>
        <v>18750</v>
      </c>
      <c r="F34" s="28">
        <v>0.5</v>
      </c>
      <c r="G34" s="42">
        <f t="shared" si="1"/>
        <v>37500</v>
      </c>
      <c r="H34" s="55"/>
      <c r="I34" s="57"/>
      <c r="J34" s="19"/>
      <c r="K34" s="19"/>
      <c r="L34" s="19"/>
    </row>
    <row r="35" spans="1:12" ht="15.75" customHeight="1">
      <c r="A35" s="38">
        <v>6</v>
      </c>
      <c r="B35" s="38" t="s">
        <v>26</v>
      </c>
      <c r="C35" s="45">
        <v>27</v>
      </c>
      <c r="D35" s="45">
        <v>3</v>
      </c>
      <c r="E35" s="42">
        <f t="shared" si="0"/>
        <v>16875</v>
      </c>
      <c r="F35" s="28">
        <v>0.5</v>
      </c>
      <c r="G35" s="42">
        <f t="shared" si="1"/>
        <v>33750</v>
      </c>
      <c r="I35" s="41">
        <f t="shared" ref="I35:I37" si="4">LOG(G35)</f>
        <v>4.528273777167044</v>
      </c>
      <c r="J35" s="19"/>
      <c r="K35" s="19"/>
      <c r="L35" s="19"/>
    </row>
    <row r="36" spans="1:12" ht="15.75" customHeight="1">
      <c r="A36" s="30">
        <v>7</v>
      </c>
      <c r="B36" s="30" t="s">
        <v>22</v>
      </c>
      <c r="C36" s="48">
        <v>8</v>
      </c>
      <c r="D36" s="48">
        <v>2</v>
      </c>
      <c r="E36" s="33">
        <f t="shared" si="0"/>
        <v>1000</v>
      </c>
      <c r="F36" s="34">
        <v>0.5</v>
      </c>
      <c r="G36" s="33">
        <f t="shared" si="1"/>
        <v>2000</v>
      </c>
      <c r="H36" s="51"/>
      <c r="I36" s="34">
        <f t="shared" si="4"/>
        <v>3.3010299956639813</v>
      </c>
      <c r="J36" s="19"/>
      <c r="K36" s="19"/>
      <c r="L36" s="19"/>
    </row>
    <row r="37" spans="1:12" ht="15.75" customHeight="1">
      <c r="A37" s="30">
        <v>7</v>
      </c>
      <c r="B37" s="30" t="s">
        <v>25</v>
      </c>
      <c r="C37" s="48">
        <v>12</v>
      </c>
      <c r="D37" s="48">
        <v>1</v>
      </c>
      <c r="E37" s="33">
        <f t="shared" si="0"/>
        <v>300</v>
      </c>
      <c r="F37" s="34">
        <v>0.5</v>
      </c>
      <c r="G37" s="33">
        <f t="shared" si="1"/>
        <v>600</v>
      </c>
      <c r="H37" s="51"/>
      <c r="I37" s="34">
        <f t="shared" si="4"/>
        <v>2.7781512503836434</v>
      </c>
      <c r="J37" s="19"/>
      <c r="K37" s="19"/>
      <c r="L37" s="19"/>
    </row>
    <row r="38" spans="1:12" ht="15.75" customHeight="1">
      <c r="A38" s="30">
        <v>7</v>
      </c>
      <c r="B38" s="30" t="s">
        <v>26</v>
      </c>
      <c r="C38" s="48">
        <v>43</v>
      </c>
      <c r="D38" s="48">
        <v>3</v>
      </c>
      <c r="E38" s="33">
        <f t="shared" si="0"/>
        <v>26875</v>
      </c>
      <c r="F38" s="34">
        <v>0.5</v>
      </c>
      <c r="G38" s="33">
        <f t="shared" si="1"/>
        <v>53750</v>
      </c>
      <c r="H38" s="58">
        <f>AVERAGE(G38:G39)</f>
        <v>51875</v>
      </c>
      <c r="I38" s="34">
        <f>LOG(H38)</f>
        <v>4.7149581097201487</v>
      </c>
      <c r="J38" s="19"/>
      <c r="K38" s="19"/>
      <c r="L38" s="19"/>
    </row>
    <row r="39" spans="1:12" ht="15.75" customHeight="1">
      <c r="A39" s="51"/>
      <c r="B39" s="51"/>
      <c r="C39" s="50">
        <v>8</v>
      </c>
      <c r="D39" s="50">
        <v>4</v>
      </c>
      <c r="E39" s="33">
        <f t="shared" si="0"/>
        <v>25000</v>
      </c>
      <c r="F39" s="34">
        <v>0.5</v>
      </c>
      <c r="G39" s="33">
        <f t="shared" si="1"/>
        <v>50000</v>
      </c>
      <c r="H39" s="51"/>
      <c r="I39" s="51"/>
      <c r="J39" s="19"/>
      <c r="K39" s="19"/>
      <c r="L39" s="19"/>
    </row>
    <row r="40" spans="1:12" ht="15.75" customHeight="1">
      <c r="A40" s="43">
        <v>8</v>
      </c>
      <c r="B40" s="43" t="s">
        <v>22</v>
      </c>
      <c r="C40" s="45">
        <v>42</v>
      </c>
      <c r="D40" s="45">
        <v>1</v>
      </c>
      <c r="E40" s="42">
        <f t="shared" si="0"/>
        <v>1050</v>
      </c>
      <c r="F40" s="28">
        <v>0.5</v>
      </c>
      <c r="G40" s="42">
        <f t="shared" si="1"/>
        <v>2100</v>
      </c>
      <c r="H40" s="53">
        <f>AVERAGE(G40:G41)</f>
        <v>2050</v>
      </c>
      <c r="I40" s="41">
        <f>LOG(H40)</f>
        <v>3.3117538610557542</v>
      </c>
      <c r="J40" s="19"/>
      <c r="K40" s="19"/>
      <c r="L40" s="19"/>
    </row>
    <row r="41" spans="1:12" ht="15.75" customHeight="1">
      <c r="A41" s="44"/>
      <c r="B41" s="44"/>
      <c r="C41" s="45">
        <v>8</v>
      </c>
      <c r="D41" s="45">
        <v>2</v>
      </c>
      <c r="E41" s="42">
        <f t="shared" si="0"/>
        <v>1000</v>
      </c>
      <c r="F41" s="28">
        <v>0.5</v>
      </c>
      <c r="G41" s="42">
        <f t="shared" si="1"/>
        <v>2000</v>
      </c>
      <c r="I41" s="41"/>
      <c r="J41" s="19"/>
      <c r="K41" s="19"/>
      <c r="L41" s="19"/>
    </row>
    <row r="42" spans="1:12" ht="15.75" customHeight="1">
      <c r="A42" s="43">
        <v>8</v>
      </c>
      <c r="B42" s="43" t="s">
        <v>25</v>
      </c>
      <c r="C42" s="45">
        <v>8</v>
      </c>
      <c r="D42" s="45">
        <v>3</v>
      </c>
      <c r="E42" s="42">
        <f t="shared" si="0"/>
        <v>5000</v>
      </c>
      <c r="F42" s="28">
        <v>0.5</v>
      </c>
      <c r="G42" s="42">
        <f t="shared" si="1"/>
        <v>10000</v>
      </c>
      <c r="I42" s="41">
        <f t="shared" ref="I42:I43" si="5">LOG(G42)</f>
        <v>4</v>
      </c>
      <c r="J42" s="19"/>
      <c r="K42" s="19"/>
      <c r="L42" s="19"/>
    </row>
    <row r="43" spans="1:12" ht="15.75" customHeight="1">
      <c r="A43" s="43">
        <v>8</v>
      </c>
      <c r="B43" s="43" t="s">
        <v>26</v>
      </c>
      <c r="C43" s="52">
        <v>25</v>
      </c>
      <c r="D43" s="52">
        <v>3</v>
      </c>
      <c r="E43" s="42">
        <f t="shared" si="0"/>
        <v>15625</v>
      </c>
      <c r="F43" s="28">
        <v>0.5</v>
      </c>
      <c r="G43" s="42">
        <f t="shared" si="1"/>
        <v>31250</v>
      </c>
      <c r="I43" s="41">
        <f t="shared" si="5"/>
        <v>4.4948500216800937</v>
      </c>
      <c r="J43" s="19"/>
      <c r="K43" s="19"/>
      <c r="L43" s="19"/>
    </row>
    <row r="44" spans="1:12" ht="15.75" customHeight="1">
      <c r="A44" s="30">
        <v>9</v>
      </c>
      <c r="B44" s="30" t="s">
        <v>22</v>
      </c>
      <c r="C44" s="48">
        <v>38</v>
      </c>
      <c r="D44" s="48">
        <v>1</v>
      </c>
      <c r="E44" s="33">
        <f t="shared" si="0"/>
        <v>950</v>
      </c>
      <c r="F44" s="34">
        <v>0.5</v>
      </c>
      <c r="G44" s="33">
        <f t="shared" si="1"/>
        <v>1900</v>
      </c>
      <c r="H44" s="54">
        <f>AVERAGE(G44:G45)</f>
        <v>2200</v>
      </c>
      <c r="I44" s="34">
        <f>LOG(H44)</f>
        <v>3.3424226808222062</v>
      </c>
      <c r="J44" s="19"/>
      <c r="K44" s="19"/>
      <c r="L44" s="19"/>
    </row>
    <row r="45" spans="1:12" ht="15.75" customHeight="1">
      <c r="A45" s="51"/>
      <c r="B45" s="51"/>
      <c r="C45" s="50">
        <v>10</v>
      </c>
      <c r="D45" s="50">
        <v>2</v>
      </c>
      <c r="E45" s="33">
        <f t="shared" si="0"/>
        <v>1250</v>
      </c>
      <c r="F45" s="34">
        <v>0.5</v>
      </c>
      <c r="G45" s="33">
        <f t="shared" si="1"/>
        <v>2500</v>
      </c>
      <c r="H45" s="51"/>
      <c r="I45" s="51"/>
      <c r="J45" s="19"/>
      <c r="K45" s="19"/>
      <c r="L45" s="19"/>
    </row>
    <row r="46" spans="1:12" ht="15.75" customHeight="1">
      <c r="A46" s="30">
        <v>9</v>
      </c>
      <c r="B46" s="30" t="s">
        <v>25</v>
      </c>
      <c r="C46" s="48">
        <v>14</v>
      </c>
      <c r="D46" s="48">
        <v>2</v>
      </c>
      <c r="E46" s="33">
        <f t="shared" si="0"/>
        <v>1750</v>
      </c>
      <c r="F46" s="34">
        <v>0.5</v>
      </c>
      <c r="G46" s="33">
        <f t="shared" si="1"/>
        <v>3500</v>
      </c>
      <c r="H46" s="51"/>
      <c r="I46" s="34">
        <f t="shared" ref="I46:I47" si="6">LOG(G46)</f>
        <v>3.5440680443502757</v>
      </c>
      <c r="J46" s="19"/>
      <c r="K46" s="19"/>
      <c r="L46" s="19"/>
    </row>
    <row r="47" spans="1:12" ht="15.75" customHeight="1">
      <c r="A47" s="30">
        <v>9</v>
      </c>
      <c r="B47" s="30" t="s">
        <v>26</v>
      </c>
      <c r="C47" s="48">
        <v>13</v>
      </c>
      <c r="D47" s="48">
        <v>3</v>
      </c>
      <c r="E47" s="33">
        <f t="shared" si="0"/>
        <v>8125</v>
      </c>
      <c r="F47" s="34">
        <v>0.5</v>
      </c>
      <c r="G47" s="33">
        <f t="shared" si="1"/>
        <v>16250</v>
      </c>
      <c r="H47" s="51"/>
      <c r="I47" s="34">
        <f t="shared" si="6"/>
        <v>4.2108533653148932</v>
      </c>
      <c r="J47" s="19"/>
      <c r="K47" s="19"/>
      <c r="L47" s="19"/>
    </row>
    <row r="48" spans="1:12" ht="15.75" customHeight="1">
      <c r="A48" s="43">
        <v>10</v>
      </c>
      <c r="B48" s="43" t="s">
        <v>22</v>
      </c>
      <c r="C48" s="45">
        <v>41</v>
      </c>
      <c r="D48" s="45">
        <v>2</v>
      </c>
      <c r="E48" s="42">
        <f t="shared" si="0"/>
        <v>5125</v>
      </c>
      <c r="F48" s="28">
        <v>0.5</v>
      </c>
      <c r="G48" s="42">
        <f t="shared" si="1"/>
        <v>10250</v>
      </c>
      <c r="H48" s="59">
        <f>AVERAGE(G48:G49)</f>
        <v>10750</v>
      </c>
      <c r="I48" s="41">
        <f>LOG(H48)</f>
        <v>4.0314084642516246</v>
      </c>
      <c r="J48" s="19"/>
      <c r="K48" s="19"/>
      <c r="L48" s="19"/>
    </row>
    <row r="49" spans="1:12" ht="15.75" customHeight="1">
      <c r="A49" s="55"/>
      <c r="B49" s="55"/>
      <c r="C49" s="56">
        <v>9</v>
      </c>
      <c r="D49" s="56">
        <v>3</v>
      </c>
      <c r="E49" s="42">
        <f t="shared" si="0"/>
        <v>5625</v>
      </c>
      <c r="F49" s="28">
        <v>0.5</v>
      </c>
      <c r="G49" s="42">
        <f t="shared" si="1"/>
        <v>11250</v>
      </c>
      <c r="H49" s="55"/>
      <c r="I49" s="57"/>
      <c r="J49" s="19"/>
      <c r="K49" s="19"/>
      <c r="L49" s="19"/>
    </row>
    <row r="50" spans="1:12" ht="15.75" customHeight="1">
      <c r="A50" s="43">
        <v>10</v>
      </c>
      <c r="B50" s="43" t="s">
        <v>25</v>
      </c>
      <c r="C50" s="45">
        <v>37</v>
      </c>
      <c r="D50" s="45">
        <v>2</v>
      </c>
      <c r="E50" s="42">
        <f t="shared" si="0"/>
        <v>4625</v>
      </c>
      <c r="F50" s="28">
        <v>0.5</v>
      </c>
      <c r="G50" s="42">
        <f t="shared" si="1"/>
        <v>9250</v>
      </c>
      <c r="H50" s="59">
        <f>AVERAGE(G50:G51)</f>
        <v>12125</v>
      </c>
      <c r="I50" s="41">
        <f>LOG(H50)</f>
        <v>4.0836817472743014</v>
      </c>
      <c r="J50" s="19"/>
      <c r="K50" s="19"/>
      <c r="L50" s="19"/>
    </row>
    <row r="51" spans="1:12" ht="15.75" customHeight="1">
      <c r="A51" s="55"/>
      <c r="B51" s="55"/>
      <c r="C51" s="56">
        <v>12</v>
      </c>
      <c r="D51" s="56">
        <v>3</v>
      </c>
      <c r="E51" s="42">
        <f t="shared" si="0"/>
        <v>7500</v>
      </c>
      <c r="F51" s="28">
        <v>0.5</v>
      </c>
      <c r="G51" s="42">
        <f t="shared" si="1"/>
        <v>15000</v>
      </c>
      <c r="H51" s="55"/>
      <c r="I51" s="57"/>
      <c r="J51" s="19"/>
      <c r="K51" s="19"/>
      <c r="L51" s="19"/>
    </row>
    <row r="52" spans="1:12" ht="15.75" customHeight="1">
      <c r="A52" s="43">
        <v>10</v>
      </c>
      <c r="B52" s="43" t="s">
        <v>26</v>
      </c>
      <c r="C52" s="45">
        <v>26</v>
      </c>
      <c r="D52" s="45">
        <v>3</v>
      </c>
      <c r="E52" s="42">
        <f t="shared" si="0"/>
        <v>16250</v>
      </c>
      <c r="F52" s="28">
        <v>0.5</v>
      </c>
      <c r="G52" s="42">
        <f t="shared" si="1"/>
        <v>32500</v>
      </c>
      <c r="H52" s="59">
        <f>AVERAGE(G52:G53)</f>
        <v>41250</v>
      </c>
      <c r="I52" s="41">
        <f>LOG(H52)</f>
        <v>4.6154239528859442</v>
      </c>
      <c r="J52" s="19"/>
      <c r="K52" s="19"/>
      <c r="L52" s="19"/>
    </row>
    <row r="53" spans="1:12" ht="15.75" customHeight="1">
      <c r="A53" s="60"/>
      <c r="B53" s="60"/>
      <c r="C53" s="45">
        <v>8</v>
      </c>
      <c r="D53" s="45">
        <v>4</v>
      </c>
      <c r="E53" s="42">
        <f t="shared" si="0"/>
        <v>25000</v>
      </c>
      <c r="F53" s="28">
        <v>0.5</v>
      </c>
      <c r="G53" s="42">
        <f t="shared" si="1"/>
        <v>50000</v>
      </c>
      <c r="H53" s="60"/>
      <c r="I53" s="19"/>
      <c r="J53" s="19"/>
      <c r="K53" s="19"/>
      <c r="L53" s="19"/>
    </row>
    <row r="54" spans="1:12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spans="1:12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12" ht="15.75" customHeight="1">
      <c r="J56" s="19"/>
      <c r="K56" s="19"/>
      <c r="L56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90"/>
  <sheetViews>
    <sheetView workbookViewId="0"/>
  </sheetViews>
  <sheetFormatPr baseColWidth="10" defaultColWidth="14.5" defaultRowHeight="15.75" customHeight="1"/>
  <sheetData>
    <row r="1" spans="1:12" ht="15.75" customHeight="1">
      <c r="A1" s="14" t="s">
        <v>31</v>
      </c>
      <c r="B1" s="20" t="s">
        <v>58</v>
      </c>
      <c r="C1" s="16"/>
      <c r="D1" s="17" t="s">
        <v>33</v>
      </c>
      <c r="E1" s="18"/>
      <c r="F1" s="19"/>
      <c r="G1" s="19"/>
      <c r="H1" s="19"/>
      <c r="I1" s="19"/>
      <c r="J1" s="19"/>
      <c r="K1" s="19"/>
      <c r="L1" s="19"/>
    </row>
    <row r="2" spans="1:12">
      <c r="A2" s="20" t="s">
        <v>34</v>
      </c>
      <c r="B2" s="21" t="s">
        <v>35</v>
      </c>
      <c r="C2" s="16"/>
      <c r="D2" s="20" t="s">
        <v>36</v>
      </c>
      <c r="E2" s="18"/>
      <c r="F2" s="19"/>
      <c r="G2" s="19"/>
      <c r="H2" s="19"/>
      <c r="I2" s="19"/>
      <c r="J2" s="19"/>
      <c r="K2" s="19"/>
      <c r="L2" s="19"/>
    </row>
    <row r="3" spans="1:12" ht="15.75" customHeight="1">
      <c r="A3" s="20" t="s">
        <v>37</v>
      </c>
      <c r="B3" s="22"/>
      <c r="C3" s="16"/>
      <c r="D3" s="20" t="s">
        <v>38</v>
      </c>
      <c r="E3" s="22"/>
      <c r="F3" s="19"/>
      <c r="G3" s="19"/>
      <c r="H3" s="19"/>
      <c r="I3" s="19"/>
      <c r="J3" s="19"/>
      <c r="K3" s="19"/>
      <c r="L3" s="19"/>
    </row>
    <row r="4" spans="1:12" ht="15.75" customHeight="1">
      <c r="A4" s="20" t="s">
        <v>39</v>
      </c>
      <c r="B4" s="16" t="s">
        <v>40</v>
      </c>
      <c r="C4" s="16"/>
      <c r="D4" s="20" t="s">
        <v>41</v>
      </c>
      <c r="E4" s="20" t="s">
        <v>42</v>
      </c>
      <c r="F4" s="19"/>
      <c r="G4" s="19"/>
      <c r="H4" s="19"/>
      <c r="I4" s="19"/>
      <c r="J4" s="19"/>
      <c r="K4" s="19"/>
      <c r="L4" s="19"/>
    </row>
    <row r="5" spans="1:12" ht="15.75" customHeight="1">
      <c r="A5" s="20" t="s">
        <v>43</v>
      </c>
      <c r="B5" s="23">
        <v>5</v>
      </c>
      <c r="C5" s="16"/>
      <c r="D5" s="20" t="s">
        <v>44</v>
      </c>
      <c r="E5" s="24">
        <v>0.5</v>
      </c>
      <c r="F5" s="19"/>
      <c r="G5" s="19"/>
      <c r="H5" s="19"/>
      <c r="I5" s="19"/>
      <c r="J5" s="19"/>
      <c r="K5" s="19"/>
      <c r="L5" s="19"/>
    </row>
    <row r="6" spans="1:12" ht="15.75" customHeight="1">
      <c r="A6" s="20" t="s">
        <v>45</v>
      </c>
      <c r="B6" s="16" t="s">
        <v>30</v>
      </c>
      <c r="C6" s="16"/>
      <c r="D6" s="20"/>
      <c r="E6" s="20"/>
      <c r="F6" s="19"/>
      <c r="G6" s="19"/>
      <c r="H6" s="19"/>
      <c r="I6" s="19"/>
      <c r="J6" s="19"/>
      <c r="K6" s="19"/>
      <c r="L6" s="19"/>
    </row>
    <row r="7" spans="1:12" ht="15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15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ht="15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15.75" customHeight="1">
      <c r="A10" s="19"/>
      <c r="B10" s="25" t="s">
        <v>30</v>
      </c>
      <c r="C10" s="25"/>
      <c r="D10" s="25"/>
      <c r="E10" s="25"/>
      <c r="F10" s="25"/>
      <c r="G10" s="25"/>
      <c r="I10" s="25"/>
      <c r="J10" s="19"/>
      <c r="K10" s="19"/>
      <c r="L10" s="19"/>
    </row>
    <row r="11" spans="1:12" ht="15.75" customHeight="1">
      <c r="A11" s="19"/>
      <c r="B11" s="26" t="s">
        <v>46</v>
      </c>
      <c r="C11" s="26" t="s">
        <v>47</v>
      </c>
      <c r="D11" s="26" t="s">
        <v>48</v>
      </c>
      <c r="E11" s="16"/>
      <c r="F11" s="26" t="s">
        <v>30</v>
      </c>
      <c r="G11" s="16"/>
      <c r="H11" s="1" t="s">
        <v>55</v>
      </c>
      <c r="I11" s="16"/>
      <c r="J11" s="19"/>
      <c r="K11" s="19"/>
      <c r="L11" s="19"/>
    </row>
    <row r="12" spans="1:12" ht="15.75" customHeight="1">
      <c r="A12" s="19"/>
      <c r="B12" s="28" t="s">
        <v>49</v>
      </c>
      <c r="C12" s="28" t="s">
        <v>50</v>
      </c>
      <c r="D12" s="28" t="s">
        <v>51</v>
      </c>
      <c r="E12" s="28" t="s">
        <v>52</v>
      </c>
      <c r="F12" s="28" t="s">
        <v>53</v>
      </c>
      <c r="G12" s="28" t="s">
        <v>54</v>
      </c>
      <c r="I12" s="28" t="s">
        <v>56</v>
      </c>
      <c r="J12" s="19"/>
      <c r="K12" s="19"/>
      <c r="L12" s="19"/>
    </row>
    <row r="13" spans="1:12">
      <c r="A13" s="30">
        <v>1</v>
      </c>
      <c r="B13" s="30" t="s">
        <v>22</v>
      </c>
      <c r="C13" s="31">
        <v>16</v>
      </c>
      <c r="D13" s="32">
        <v>3</v>
      </c>
      <c r="E13" s="33">
        <f t="shared" ref="E13:E46" si="0">(C13*$B$5^D13*10)*$E$5</f>
        <v>10000</v>
      </c>
      <c r="F13" s="34">
        <v>0.5</v>
      </c>
      <c r="G13" s="33">
        <f t="shared" ref="G13:G46" si="1">E13/F13</f>
        <v>20000</v>
      </c>
      <c r="H13" s="51"/>
      <c r="I13" s="34">
        <f t="shared" ref="I13:I14" si="2">LOG(G13)</f>
        <v>4.3010299956639813</v>
      </c>
      <c r="J13" s="19"/>
      <c r="K13" s="29" t="s">
        <v>57</v>
      </c>
      <c r="L13" s="29" t="s">
        <v>55</v>
      </c>
    </row>
    <row r="14" spans="1:12">
      <c r="A14" s="30">
        <v>1</v>
      </c>
      <c r="B14" s="30" t="s">
        <v>25</v>
      </c>
      <c r="C14" s="31">
        <v>15</v>
      </c>
      <c r="D14" s="32">
        <v>3</v>
      </c>
      <c r="E14" s="33">
        <f t="shared" si="0"/>
        <v>9375</v>
      </c>
      <c r="F14" s="34">
        <v>0.5</v>
      </c>
      <c r="G14" s="33">
        <f t="shared" si="1"/>
        <v>18750</v>
      </c>
      <c r="H14" s="51"/>
      <c r="I14" s="34">
        <f t="shared" si="2"/>
        <v>4.2730012720637376</v>
      </c>
      <c r="J14" s="19"/>
      <c r="K14" s="37">
        <v>1</v>
      </c>
      <c r="L14" s="37">
        <f>AVERAGE(I13:I15)</f>
        <v>4.3647290515575277</v>
      </c>
    </row>
    <row r="15" spans="1:12">
      <c r="A15" s="30">
        <v>1</v>
      </c>
      <c r="B15" s="30" t="s">
        <v>26</v>
      </c>
      <c r="C15" s="31">
        <v>23</v>
      </c>
      <c r="D15" s="32">
        <v>3</v>
      </c>
      <c r="E15" s="33">
        <f t="shared" si="0"/>
        <v>14375</v>
      </c>
      <c r="F15" s="34">
        <v>0.5</v>
      </c>
      <c r="G15" s="33">
        <f t="shared" si="1"/>
        <v>28750</v>
      </c>
      <c r="H15" s="54">
        <f>AVERAGE(G15:G16)</f>
        <v>33125</v>
      </c>
      <c r="I15" s="34">
        <f>LOG(H15)</f>
        <v>4.5201558869448641</v>
      </c>
      <c r="J15" s="19"/>
      <c r="K15" s="37">
        <v>2</v>
      </c>
      <c r="L15" s="37">
        <f>AVERAGE(I17:I19)</f>
        <v>3.936414659634019</v>
      </c>
    </row>
    <row r="16" spans="1:12" ht="15.75" customHeight="1">
      <c r="A16" s="51"/>
      <c r="B16" s="51"/>
      <c r="C16" s="50">
        <v>6</v>
      </c>
      <c r="D16" s="50">
        <v>4</v>
      </c>
      <c r="E16" s="33">
        <f t="shared" si="0"/>
        <v>18750</v>
      </c>
      <c r="F16" s="34">
        <v>0.5</v>
      </c>
      <c r="G16" s="33">
        <f t="shared" si="1"/>
        <v>37500</v>
      </c>
      <c r="H16" s="51"/>
      <c r="I16" s="51"/>
      <c r="J16" s="19"/>
      <c r="K16" s="37">
        <v>3</v>
      </c>
      <c r="L16" s="37">
        <f>AVERAGE(I20:I23)</f>
        <v>4.3233102449170735</v>
      </c>
    </row>
    <row r="17" spans="1:12">
      <c r="A17" s="43">
        <v>2</v>
      </c>
      <c r="B17" s="43" t="s">
        <v>22</v>
      </c>
      <c r="C17" s="61">
        <v>11</v>
      </c>
      <c r="D17" s="39">
        <v>3</v>
      </c>
      <c r="E17" s="42">
        <f t="shared" si="0"/>
        <v>6875</v>
      </c>
      <c r="F17" s="28">
        <v>0.5</v>
      </c>
      <c r="G17" s="42">
        <f t="shared" si="1"/>
        <v>13750</v>
      </c>
      <c r="H17" s="57"/>
      <c r="I17" s="28">
        <f t="shared" ref="I17:I19" si="3">LOG(G17)</f>
        <v>4.1383026981662816</v>
      </c>
      <c r="J17" s="19"/>
      <c r="K17" s="37">
        <v>4</v>
      </c>
      <c r="L17" s="37">
        <f>AVERAGE(I24:I26)</f>
        <v>4.5703166389164389</v>
      </c>
    </row>
    <row r="18" spans="1:12">
      <c r="A18" s="43">
        <v>2</v>
      </c>
      <c r="B18" s="43" t="s">
        <v>25</v>
      </c>
      <c r="C18" s="61">
        <v>6</v>
      </c>
      <c r="D18" s="39">
        <v>3</v>
      </c>
      <c r="E18" s="42">
        <f t="shared" si="0"/>
        <v>3750</v>
      </c>
      <c r="F18" s="28">
        <v>0.5</v>
      </c>
      <c r="G18" s="42">
        <f t="shared" si="1"/>
        <v>7500</v>
      </c>
      <c r="H18" s="57"/>
      <c r="I18" s="28">
        <f t="shared" si="3"/>
        <v>3.8750612633917001</v>
      </c>
      <c r="J18" s="19"/>
      <c r="K18" s="37">
        <v>5</v>
      </c>
      <c r="L18" s="37">
        <f>AVERAGE(I27:I30)</f>
        <v>4.3671151963576023</v>
      </c>
    </row>
    <row r="19" spans="1:12" ht="15.75" customHeight="1">
      <c r="A19" s="43">
        <v>2</v>
      </c>
      <c r="B19" s="43" t="s">
        <v>26</v>
      </c>
      <c r="C19" s="39">
        <v>5</v>
      </c>
      <c r="D19" s="39">
        <v>3</v>
      </c>
      <c r="E19" s="42">
        <f t="shared" si="0"/>
        <v>3125</v>
      </c>
      <c r="F19" s="28">
        <v>0.5</v>
      </c>
      <c r="G19" s="42">
        <f t="shared" si="1"/>
        <v>6250</v>
      </c>
      <c r="H19" s="57"/>
      <c r="I19" s="28">
        <f t="shared" si="3"/>
        <v>3.7958800173440754</v>
      </c>
      <c r="J19" s="19"/>
      <c r="K19" s="37">
        <v>6</v>
      </c>
      <c r="L19" s="37">
        <f>AVERAGE(I31:I33)</f>
        <v>4.6595682196862418</v>
      </c>
    </row>
    <row r="20" spans="1:12" ht="15.75" customHeight="1">
      <c r="A20" s="30">
        <v>3</v>
      </c>
      <c r="B20" s="30" t="s">
        <v>22</v>
      </c>
      <c r="C20" s="32">
        <v>35</v>
      </c>
      <c r="D20" s="32">
        <v>2</v>
      </c>
      <c r="E20" s="33">
        <f t="shared" si="0"/>
        <v>4375</v>
      </c>
      <c r="F20" s="34">
        <v>0.5</v>
      </c>
      <c r="G20" s="33">
        <f t="shared" si="1"/>
        <v>8750</v>
      </c>
      <c r="H20" s="54">
        <f>AVERAGE(G20:G21)</f>
        <v>8125</v>
      </c>
      <c r="I20" s="34">
        <f>LOG(H20)</f>
        <v>3.9098233696509119</v>
      </c>
      <c r="J20" s="19"/>
      <c r="K20" s="37">
        <v>7</v>
      </c>
      <c r="L20" s="37">
        <f>AVERAGE(I34:I36)</f>
        <v>4.37390114544894</v>
      </c>
    </row>
    <row r="21" spans="1:12" ht="15.75" customHeight="1">
      <c r="A21" s="51"/>
      <c r="B21" s="51"/>
      <c r="C21" s="50">
        <v>6</v>
      </c>
      <c r="D21" s="50">
        <v>3</v>
      </c>
      <c r="E21" s="33">
        <f t="shared" si="0"/>
        <v>3750</v>
      </c>
      <c r="F21" s="34">
        <v>0.5</v>
      </c>
      <c r="G21" s="33">
        <f t="shared" si="1"/>
        <v>7500</v>
      </c>
      <c r="H21" s="51"/>
      <c r="I21" s="51"/>
      <c r="J21" s="19"/>
      <c r="K21" s="37">
        <v>8</v>
      </c>
      <c r="L21" s="37">
        <f>AVERAGE(I37:I39)</f>
        <v>4.2403113792186398</v>
      </c>
    </row>
    <row r="22" spans="1:12" ht="15.75" customHeight="1">
      <c r="A22" s="30">
        <v>3</v>
      </c>
      <c r="B22" s="30" t="s">
        <v>25</v>
      </c>
      <c r="C22" s="48">
        <v>75</v>
      </c>
      <c r="D22" s="48">
        <v>2</v>
      </c>
      <c r="E22" s="33">
        <f t="shared" si="0"/>
        <v>9375</v>
      </c>
      <c r="F22" s="34">
        <v>0.5</v>
      </c>
      <c r="G22" s="33">
        <f t="shared" si="1"/>
        <v>18750</v>
      </c>
      <c r="H22" s="51"/>
      <c r="I22" s="34">
        <f t="shared" ref="I22:I27" si="4">LOG(G22)</f>
        <v>4.2730012720637376</v>
      </c>
      <c r="J22" s="19"/>
      <c r="K22" s="37">
        <v>9</v>
      </c>
      <c r="L22" s="37">
        <f>AVERAGE(I40:I43)</f>
        <v>4.2519582852241635</v>
      </c>
    </row>
    <row r="23" spans="1:12" ht="15.75" customHeight="1">
      <c r="A23" s="30">
        <v>3</v>
      </c>
      <c r="B23" s="30" t="s">
        <v>26</v>
      </c>
      <c r="C23" s="48">
        <v>49</v>
      </c>
      <c r="D23" s="48">
        <v>3</v>
      </c>
      <c r="E23" s="33">
        <f t="shared" si="0"/>
        <v>30625</v>
      </c>
      <c r="F23" s="34">
        <v>0.5</v>
      </c>
      <c r="G23" s="33">
        <f t="shared" si="1"/>
        <v>61250</v>
      </c>
      <c r="H23" s="51"/>
      <c r="I23" s="34">
        <f t="shared" si="4"/>
        <v>4.7871060930365701</v>
      </c>
      <c r="J23" s="19"/>
      <c r="K23" s="37">
        <v>10</v>
      </c>
      <c r="L23" s="37">
        <f>AVERAGE(I44:I46)</f>
        <v>4.4299825348514243</v>
      </c>
    </row>
    <row r="24" spans="1:12" ht="15.75" customHeight="1">
      <c r="A24" s="43">
        <v>4</v>
      </c>
      <c r="B24" s="43" t="s">
        <v>22</v>
      </c>
      <c r="C24" s="45">
        <v>12</v>
      </c>
      <c r="D24" s="45">
        <v>3</v>
      </c>
      <c r="E24" s="42">
        <f t="shared" si="0"/>
        <v>7500</v>
      </c>
      <c r="F24" s="28">
        <v>0.5</v>
      </c>
      <c r="G24" s="42">
        <f t="shared" si="1"/>
        <v>15000</v>
      </c>
      <c r="H24" s="57"/>
      <c r="I24" s="28">
        <f t="shared" si="4"/>
        <v>4.1760912590556813</v>
      </c>
      <c r="J24" s="19"/>
      <c r="K24" s="19"/>
      <c r="L24" s="19"/>
    </row>
    <row r="25" spans="1:12" ht="15.75" customHeight="1">
      <c r="A25" s="43">
        <v>4</v>
      </c>
      <c r="B25" s="43" t="s">
        <v>25</v>
      </c>
      <c r="C25" s="45">
        <v>43</v>
      </c>
      <c r="D25" s="45">
        <v>3</v>
      </c>
      <c r="E25" s="42">
        <f t="shared" si="0"/>
        <v>26875</v>
      </c>
      <c r="F25" s="28">
        <v>0.5</v>
      </c>
      <c r="G25" s="42">
        <f t="shared" si="1"/>
        <v>53750</v>
      </c>
      <c r="H25" s="57"/>
      <c r="I25" s="28">
        <f t="shared" si="4"/>
        <v>4.7303784685876433</v>
      </c>
      <c r="J25" s="19"/>
      <c r="K25" s="19"/>
      <c r="L25" s="19"/>
    </row>
    <row r="26" spans="1:12" ht="15.75" customHeight="1">
      <c r="A26" s="43">
        <v>4</v>
      </c>
      <c r="B26" s="43" t="s">
        <v>26</v>
      </c>
      <c r="C26" s="45">
        <v>51</v>
      </c>
      <c r="D26" s="45">
        <v>3</v>
      </c>
      <c r="E26" s="42">
        <f t="shared" si="0"/>
        <v>31875</v>
      </c>
      <c r="F26" s="28">
        <v>0.5</v>
      </c>
      <c r="G26" s="42">
        <f t="shared" si="1"/>
        <v>63750</v>
      </c>
      <c r="H26" s="57"/>
      <c r="I26" s="28">
        <f t="shared" si="4"/>
        <v>4.8044801891059929</v>
      </c>
      <c r="J26" s="19"/>
      <c r="K26" s="29"/>
      <c r="L26" s="19"/>
    </row>
    <row r="27" spans="1:12" ht="15.75" customHeight="1">
      <c r="A27" s="30">
        <v>5</v>
      </c>
      <c r="B27" s="30" t="s">
        <v>22</v>
      </c>
      <c r="C27" s="48">
        <v>19</v>
      </c>
      <c r="D27" s="48">
        <v>3</v>
      </c>
      <c r="E27" s="33">
        <f t="shared" si="0"/>
        <v>11875</v>
      </c>
      <c r="F27" s="34">
        <v>0.5</v>
      </c>
      <c r="G27" s="33">
        <f t="shared" si="1"/>
        <v>23750</v>
      </c>
      <c r="H27" s="51"/>
      <c r="I27" s="34">
        <f t="shared" si="4"/>
        <v>4.3756636139608851</v>
      </c>
      <c r="J27" s="19"/>
      <c r="K27" s="19"/>
      <c r="L27" s="19"/>
    </row>
    <row r="28" spans="1:12" ht="15.75" customHeight="1">
      <c r="A28" s="30">
        <v>5</v>
      </c>
      <c r="B28" s="30" t="s">
        <v>25</v>
      </c>
      <c r="C28" s="48">
        <v>38</v>
      </c>
      <c r="D28" s="48">
        <v>3</v>
      </c>
      <c r="E28" s="33">
        <f t="shared" si="0"/>
        <v>23750</v>
      </c>
      <c r="F28" s="34">
        <v>0.5</v>
      </c>
      <c r="G28" s="33">
        <f t="shared" si="1"/>
        <v>47500</v>
      </c>
      <c r="H28" s="54">
        <f>AVERAGE(G28:G29)</f>
        <v>51875</v>
      </c>
      <c r="I28" s="34">
        <f>LOG(H28)</f>
        <v>4.7149581097201487</v>
      </c>
      <c r="J28" s="19"/>
      <c r="K28" s="19"/>
      <c r="L28" s="19"/>
    </row>
    <row r="29" spans="1:12" ht="15.75" customHeight="1">
      <c r="A29" s="51"/>
      <c r="B29" s="51"/>
      <c r="C29" s="50">
        <v>9</v>
      </c>
      <c r="D29" s="50">
        <v>4</v>
      </c>
      <c r="E29" s="33">
        <f t="shared" si="0"/>
        <v>28125</v>
      </c>
      <c r="F29" s="34">
        <v>0.5</v>
      </c>
      <c r="G29" s="33">
        <f t="shared" si="1"/>
        <v>56250</v>
      </c>
      <c r="H29" s="51"/>
      <c r="I29" s="51"/>
      <c r="J29" s="19"/>
      <c r="K29" s="19"/>
      <c r="L29" s="19"/>
    </row>
    <row r="30" spans="1:12" ht="15.75" customHeight="1">
      <c r="A30" s="30">
        <v>5</v>
      </c>
      <c r="B30" s="30" t="s">
        <v>26</v>
      </c>
      <c r="C30" s="48">
        <v>41</v>
      </c>
      <c r="D30" s="48">
        <v>2</v>
      </c>
      <c r="E30" s="33">
        <f t="shared" si="0"/>
        <v>5125</v>
      </c>
      <c r="F30" s="34">
        <v>0.5</v>
      </c>
      <c r="G30" s="33">
        <f t="shared" si="1"/>
        <v>10250</v>
      </c>
      <c r="H30" s="51"/>
      <c r="I30" s="34">
        <f t="shared" ref="I30:I39" si="5">LOG(G30)</f>
        <v>4.0107238653917729</v>
      </c>
      <c r="J30" s="19"/>
      <c r="K30" s="19"/>
      <c r="L30" s="19"/>
    </row>
    <row r="31" spans="1:12" ht="15.75" customHeight="1">
      <c r="A31" s="43">
        <v>6</v>
      </c>
      <c r="B31" s="43" t="s">
        <v>22</v>
      </c>
      <c r="C31" s="45">
        <v>13</v>
      </c>
      <c r="D31" s="45">
        <v>4</v>
      </c>
      <c r="E31" s="42">
        <f t="shared" si="0"/>
        <v>40625</v>
      </c>
      <c r="F31" s="28">
        <v>0.5</v>
      </c>
      <c r="G31" s="42">
        <f t="shared" si="1"/>
        <v>81250</v>
      </c>
      <c r="H31" s="57"/>
      <c r="I31" s="28">
        <f t="shared" si="5"/>
        <v>4.9098233696509119</v>
      </c>
      <c r="J31" s="19"/>
      <c r="K31" s="19"/>
      <c r="L31" s="19"/>
    </row>
    <row r="32" spans="1:12" ht="15.75" customHeight="1">
      <c r="A32" s="43">
        <v>6</v>
      </c>
      <c r="B32" s="43" t="s">
        <v>25</v>
      </c>
      <c r="C32" s="45">
        <v>6</v>
      </c>
      <c r="D32" s="45">
        <v>4</v>
      </c>
      <c r="E32" s="42">
        <f t="shared" si="0"/>
        <v>18750</v>
      </c>
      <c r="F32" s="28">
        <v>0.5</v>
      </c>
      <c r="G32" s="42">
        <f t="shared" si="1"/>
        <v>37500</v>
      </c>
      <c r="H32" s="57"/>
      <c r="I32" s="28">
        <f t="shared" si="5"/>
        <v>4.5740312677277188</v>
      </c>
      <c r="J32" s="19"/>
      <c r="K32" s="19"/>
      <c r="L32" s="19"/>
    </row>
    <row r="33" spans="1:12" ht="15.75" customHeight="1">
      <c r="A33" s="43">
        <v>6</v>
      </c>
      <c r="B33" s="43" t="s">
        <v>26</v>
      </c>
      <c r="C33" s="45">
        <v>5</v>
      </c>
      <c r="D33" s="45">
        <v>4</v>
      </c>
      <c r="E33" s="42">
        <f t="shared" si="0"/>
        <v>15625</v>
      </c>
      <c r="F33" s="28">
        <v>0.5</v>
      </c>
      <c r="G33" s="42">
        <f t="shared" si="1"/>
        <v>31250</v>
      </c>
      <c r="H33" s="57"/>
      <c r="I33" s="28">
        <f t="shared" si="5"/>
        <v>4.4948500216800937</v>
      </c>
      <c r="J33" s="19"/>
      <c r="K33" s="19"/>
      <c r="L33" s="19"/>
    </row>
    <row r="34" spans="1:12" ht="15.75" customHeight="1">
      <c r="A34" s="30">
        <v>7</v>
      </c>
      <c r="B34" s="30" t="s">
        <v>22</v>
      </c>
      <c r="C34" s="48">
        <v>14</v>
      </c>
      <c r="D34" s="48">
        <v>3</v>
      </c>
      <c r="E34" s="33">
        <f t="shared" si="0"/>
        <v>8750</v>
      </c>
      <c r="F34" s="34">
        <v>0.5</v>
      </c>
      <c r="G34" s="33">
        <f t="shared" si="1"/>
        <v>17500</v>
      </c>
      <c r="H34" s="51"/>
      <c r="I34" s="34">
        <f t="shared" si="5"/>
        <v>4.2430380486862944</v>
      </c>
      <c r="J34" s="19"/>
      <c r="K34" s="19"/>
      <c r="L34" s="19"/>
    </row>
    <row r="35" spans="1:12" ht="15.75" customHeight="1">
      <c r="A35" s="30">
        <v>7</v>
      </c>
      <c r="B35" s="30" t="s">
        <v>25</v>
      </c>
      <c r="C35" s="48">
        <v>11</v>
      </c>
      <c r="D35" s="48">
        <v>3</v>
      </c>
      <c r="E35" s="33">
        <f t="shared" si="0"/>
        <v>6875</v>
      </c>
      <c r="F35" s="34">
        <v>0.5</v>
      </c>
      <c r="G35" s="33">
        <f t="shared" si="1"/>
        <v>13750</v>
      </c>
      <c r="H35" s="51"/>
      <c r="I35" s="34">
        <f t="shared" si="5"/>
        <v>4.1383026981662816</v>
      </c>
      <c r="J35" s="19"/>
      <c r="K35" s="19"/>
      <c r="L35" s="19"/>
    </row>
    <row r="36" spans="1:12" ht="15.75" customHeight="1">
      <c r="A36" s="30">
        <v>7</v>
      </c>
      <c r="B36" s="30" t="s">
        <v>26</v>
      </c>
      <c r="C36" s="48">
        <v>44</v>
      </c>
      <c r="D36" s="48">
        <v>3</v>
      </c>
      <c r="E36" s="33">
        <f t="shared" si="0"/>
        <v>27500</v>
      </c>
      <c r="F36" s="34">
        <v>0.5</v>
      </c>
      <c r="G36" s="33">
        <f t="shared" si="1"/>
        <v>55000</v>
      </c>
      <c r="H36" s="51"/>
      <c r="I36" s="34">
        <f t="shared" si="5"/>
        <v>4.7403626894942441</v>
      </c>
      <c r="J36" s="19"/>
      <c r="K36" s="19"/>
      <c r="L36" s="19"/>
    </row>
    <row r="37" spans="1:12" ht="15.75" customHeight="1">
      <c r="A37" s="43">
        <v>8</v>
      </c>
      <c r="B37" s="43" t="s">
        <v>22</v>
      </c>
      <c r="C37" s="45">
        <v>36</v>
      </c>
      <c r="D37" s="45">
        <v>2</v>
      </c>
      <c r="E37" s="42">
        <f t="shared" si="0"/>
        <v>4500</v>
      </c>
      <c r="F37" s="28">
        <v>0.5</v>
      </c>
      <c r="G37" s="42">
        <f t="shared" si="1"/>
        <v>9000</v>
      </c>
      <c r="H37" s="57"/>
      <c r="I37" s="28">
        <f t="shared" si="5"/>
        <v>3.9542425094393248</v>
      </c>
      <c r="J37" s="19"/>
      <c r="K37" s="19"/>
      <c r="L37" s="19"/>
    </row>
    <row r="38" spans="1:12" ht="15.75" customHeight="1">
      <c r="A38" s="43">
        <v>8</v>
      </c>
      <c r="B38" s="43" t="s">
        <v>25</v>
      </c>
      <c r="C38" s="45">
        <v>34</v>
      </c>
      <c r="D38" s="45">
        <v>2</v>
      </c>
      <c r="E38" s="42">
        <f t="shared" si="0"/>
        <v>4250</v>
      </c>
      <c r="F38" s="28">
        <v>0.5</v>
      </c>
      <c r="G38" s="42">
        <f t="shared" si="1"/>
        <v>8500</v>
      </c>
      <c r="H38" s="57"/>
      <c r="I38" s="28">
        <f t="shared" si="5"/>
        <v>3.9294189257142929</v>
      </c>
      <c r="J38" s="19"/>
      <c r="K38" s="19"/>
      <c r="L38" s="19"/>
    </row>
    <row r="39" spans="1:12" ht="15.75" customHeight="1">
      <c r="A39" s="43">
        <v>8</v>
      </c>
      <c r="B39" s="43" t="s">
        <v>26</v>
      </c>
      <c r="C39" s="45">
        <v>11</v>
      </c>
      <c r="D39" s="45">
        <v>4</v>
      </c>
      <c r="E39" s="42">
        <f t="shared" si="0"/>
        <v>34375</v>
      </c>
      <c r="F39" s="28">
        <v>0.5</v>
      </c>
      <c r="G39" s="42">
        <f t="shared" si="1"/>
        <v>68750</v>
      </c>
      <c r="H39" s="57"/>
      <c r="I39" s="28">
        <f t="shared" si="5"/>
        <v>4.8372727025023003</v>
      </c>
      <c r="J39" s="19"/>
      <c r="K39" s="19"/>
      <c r="L39" s="19"/>
    </row>
    <row r="40" spans="1:12" ht="15.75" customHeight="1">
      <c r="A40" s="30">
        <v>9</v>
      </c>
      <c r="B40" s="30" t="s">
        <v>22</v>
      </c>
      <c r="C40" s="48">
        <v>36</v>
      </c>
      <c r="D40" s="48">
        <v>2</v>
      </c>
      <c r="E40" s="33">
        <f t="shared" si="0"/>
        <v>4500</v>
      </c>
      <c r="F40" s="34">
        <v>0.5</v>
      </c>
      <c r="G40" s="33">
        <f t="shared" si="1"/>
        <v>9000</v>
      </c>
      <c r="H40" s="54">
        <f>AVERAGE(G40:G41)</f>
        <v>12000</v>
      </c>
      <c r="I40" s="34">
        <f>LOG(H40)</f>
        <v>4.0791812460476251</v>
      </c>
      <c r="J40" s="19"/>
      <c r="K40" s="19"/>
      <c r="L40" s="19"/>
    </row>
    <row r="41" spans="1:12" ht="15.75" customHeight="1">
      <c r="A41" s="62"/>
      <c r="B41" s="62"/>
      <c r="C41" s="48">
        <v>12</v>
      </c>
      <c r="D41" s="48">
        <v>3</v>
      </c>
      <c r="E41" s="33">
        <f t="shared" si="0"/>
        <v>7500</v>
      </c>
      <c r="F41" s="34">
        <v>0.5</v>
      </c>
      <c r="G41" s="33">
        <f t="shared" si="1"/>
        <v>15000</v>
      </c>
      <c r="H41" s="51"/>
      <c r="I41" s="34"/>
      <c r="J41" s="19"/>
      <c r="K41" s="19"/>
      <c r="L41" s="19"/>
    </row>
    <row r="42" spans="1:12" ht="15.75" customHeight="1">
      <c r="A42" s="30">
        <v>9</v>
      </c>
      <c r="B42" s="30" t="s">
        <v>25</v>
      </c>
      <c r="C42" s="48">
        <v>16</v>
      </c>
      <c r="D42" s="48">
        <v>3</v>
      </c>
      <c r="E42" s="33">
        <f t="shared" si="0"/>
        <v>10000</v>
      </c>
      <c r="F42" s="34">
        <v>0.5</v>
      </c>
      <c r="G42" s="33">
        <f t="shared" si="1"/>
        <v>20000</v>
      </c>
      <c r="H42" s="51"/>
      <c r="I42" s="34">
        <f t="shared" ref="I42:I46" si="6">LOG(G42)</f>
        <v>4.3010299956639813</v>
      </c>
      <c r="J42" s="19"/>
      <c r="K42" s="19"/>
      <c r="L42" s="19"/>
    </row>
    <row r="43" spans="1:12" ht="15.75" customHeight="1">
      <c r="A43" s="30">
        <v>9</v>
      </c>
      <c r="B43" s="30" t="s">
        <v>26</v>
      </c>
      <c r="C43" s="48">
        <v>19</v>
      </c>
      <c r="D43" s="48">
        <v>3</v>
      </c>
      <c r="E43" s="33">
        <f t="shared" si="0"/>
        <v>11875</v>
      </c>
      <c r="F43" s="34">
        <v>0.5</v>
      </c>
      <c r="G43" s="33">
        <f t="shared" si="1"/>
        <v>23750</v>
      </c>
      <c r="H43" s="51"/>
      <c r="I43" s="34">
        <f t="shared" si="6"/>
        <v>4.3756636139608851</v>
      </c>
      <c r="J43" s="19"/>
      <c r="K43" s="19"/>
      <c r="L43" s="19"/>
    </row>
    <row r="44" spans="1:12" ht="15.75" customHeight="1">
      <c r="A44" s="43">
        <v>10</v>
      </c>
      <c r="B44" s="43" t="s">
        <v>22</v>
      </c>
      <c r="C44" s="45">
        <v>31</v>
      </c>
      <c r="D44" s="45">
        <v>3</v>
      </c>
      <c r="E44" s="42">
        <f t="shared" si="0"/>
        <v>19375</v>
      </c>
      <c r="F44" s="28">
        <v>0.5</v>
      </c>
      <c r="G44" s="42">
        <f t="shared" si="1"/>
        <v>38750</v>
      </c>
      <c r="H44" s="57"/>
      <c r="I44" s="28">
        <f t="shared" si="6"/>
        <v>4.5882717068423293</v>
      </c>
      <c r="J44" s="19"/>
      <c r="K44" s="19"/>
      <c r="L44" s="19"/>
    </row>
    <row r="45" spans="1:12" ht="15.75" customHeight="1">
      <c r="A45" s="43">
        <v>10</v>
      </c>
      <c r="B45" s="43" t="s">
        <v>25</v>
      </c>
      <c r="C45" s="45">
        <v>14</v>
      </c>
      <c r="D45" s="45">
        <v>3</v>
      </c>
      <c r="E45" s="42">
        <f t="shared" si="0"/>
        <v>8750</v>
      </c>
      <c r="F45" s="28">
        <v>0.5</v>
      </c>
      <c r="G45" s="42">
        <f t="shared" si="1"/>
        <v>17500</v>
      </c>
      <c r="H45" s="57"/>
      <c r="I45" s="28">
        <f t="shared" si="6"/>
        <v>4.2430380486862944</v>
      </c>
      <c r="J45" s="19"/>
      <c r="K45" s="19"/>
      <c r="L45" s="19"/>
    </row>
    <row r="46" spans="1:12" ht="15.75" customHeight="1">
      <c r="A46" s="43">
        <v>10</v>
      </c>
      <c r="B46" s="43" t="s">
        <v>26</v>
      </c>
      <c r="C46" s="45">
        <v>23</v>
      </c>
      <c r="D46" s="45">
        <v>3</v>
      </c>
      <c r="E46" s="42">
        <f t="shared" si="0"/>
        <v>14375</v>
      </c>
      <c r="F46" s="28">
        <v>0.5</v>
      </c>
      <c r="G46" s="42">
        <f t="shared" si="1"/>
        <v>28750</v>
      </c>
      <c r="H46" s="57"/>
      <c r="I46" s="28">
        <f t="shared" si="6"/>
        <v>4.4586378490256493</v>
      </c>
      <c r="J46" s="19"/>
      <c r="K46" s="19"/>
      <c r="L46" s="19"/>
    </row>
    <row r="47" spans="1:12" ht="15.75" customHeight="1">
      <c r="J47" s="19"/>
      <c r="K47" s="19"/>
      <c r="L47" s="19"/>
    </row>
    <row r="48" spans="1:12" ht="15.75" customHeight="1">
      <c r="J48" s="19"/>
      <c r="K48" s="19"/>
      <c r="L48" s="19"/>
    </row>
    <row r="49" spans="1:12" ht="15.75" customHeight="1">
      <c r="A49" s="43"/>
      <c r="B49" s="43"/>
      <c r="C49" s="44"/>
      <c r="D49" s="44"/>
      <c r="E49" s="42"/>
      <c r="F49" s="28"/>
      <c r="G49" s="42"/>
      <c r="I49" s="63"/>
      <c r="J49" s="19"/>
      <c r="K49" s="19"/>
      <c r="L49" s="19"/>
    </row>
    <row r="50" spans="1:12" ht="15.75" customHeight="1">
      <c r="A50" s="64"/>
      <c r="B50" s="65"/>
      <c r="C50" s="66"/>
      <c r="D50" s="66"/>
      <c r="E50" s="42"/>
      <c r="F50" s="28"/>
      <c r="G50" s="42"/>
      <c r="I50" s="63"/>
      <c r="J50" s="19"/>
      <c r="K50" s="19"/>
      <c r="L50" s="19"/>
    </row>
    <row r="51" spans="1:12" ht="15.75" customHeight="1">
      <c r="A51" s="64"/>
      <c r="B51" s="65"/>
      <c r="C51" s="66"/>
      <c r="D51" s="66"/>
      <c r="E51" s="42"/>
      <c r="F51" s="28"/>
      <c r="G51" s="42"/>
      <c r="H51" s="63"/>
      <c r="I51" s="66"/>
      <c r="J51" s="19"/>
      <c r="K51" s="19"/>
      <c r="L51" s="19"/>
    </row>
    <row r="52" spans="1:12" ht="15.75" customHeight="1">
      <c r="A52" s="64"/>
      <c r="B52" s="65"/>
      <c r="C52" s="66"/>
      <c r="D52" s="66"/>
      <c r="E52" s="42"/>
      <c r="F52" s="28"/>
      <c r="G52" s="42"/>
      <c r="H52" s="63"/>
      <c r="I52" s="66"/>
      <c r="J52" s="19"/>
      <c r="K52" s="19"/>
      <c r="L52" s="19"/>
    </row>
    <row r="53" spans="1:12" ht="15.75" customHeight="1">
      <c r="A53" s="64"/>
      <c r="B53" s="65"/>
      <c r="C53" s="66"/>
      <c r="D53" s="66"/>
      <c r="E53" s="42"/>
      <c r="F53" s="28"/>
      <c r="G53" s="42"/>
      <c r="H53" s="63"/>
      <c r="I53" s="66"/>
      <c r="J53" s="19"/>
      <c r="K53" s="19"/>
      <c r="L53" s="19"/>
    </row>
    <row r="54" spans="1:12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19"/>
      <c r="K54" s="19"/>
      <c r="L54" s="19"/>
    </row>
    <row r="55" spans="1:12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19"/>
      <c r="K55" s="19"/>
      <c r="L55" s="19"/>
    </row>
    <row r="56" spans="1:12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19"/>
      <c r="K56" s="19"/>
      <c r="L56" s="19"/>
    </row>
    <row r="57" spans="1:12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19"/>
      <c r="K57" s="19"/>
      <c r="L57" s="19"/>
    </row>
    <row r="58" spans="1:12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19"/>
      <c r="K58" s="19"/>
      <c r="L58" s="19"/>
    </row>
    <row r="59" spans="1:12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19"/>
      <c r="K59" s="19"/>
      <c r="L59" s="19"/>
    </row>
    <row r="60" spans="1:12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19"/>
      <c r="K60" s="19"/>
      <c r="L60" s="19"/>
    </row>
    <row r="61" spans="1:12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spans="1:1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spans="1:12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spans="1:12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spans="1:12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1:12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spans="1:12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spans="1:12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1:12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spans="1:12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1:12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1:12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ht="1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1:12" ht="1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spans="1:12" ht="1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spans="1:12" ht="1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1:12" ht="1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1:12" ht="1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1:12" ht="1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spans="1:12" ht="1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1:12" ht="13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61"/>
  <sheetViews>
    <sheetView workbookViewId="0"/>
  </sheetViews>
  <sheetFormatPr baseColWidth="10" defaultColWidth="14.5" defaultRowHeight="15.75" customHeight="1"/>
  <sheetData>
    <row r="1" spans="1:4" ht="15.75" customHeight="1">
      <c r="A1" s="67" t="s">
        <v>57</v>
      </c>
      <c r="B1" s="67" t="s">
        <v>59</v>
      </c>
      <c r="C1" s="67" t="s">
        <v>60</v>
      </c>
      <c r="D1" s="68" t="s">
        <v>56</v>
      </c>
    </row>
    <row r="2" spans="1:4" ht="15.75" customHeight="1">
      <c r="A2" s="46">
        <v>1</v>
      </c>
      <c r="B2" s="69" t="s">
        <v>22</v>
      </c>
      <c r="C2" s="1" t="s">
        <v>23</v>
      </c>
      <c r="D2" s="70">
        <v>4.3010299956639804</v>
      </c>
    </row>
    <row r="3" spans="1:4" ht="15.75" customHeight="1">
      <c r="A3" s="46">
        <v>1</v>
      </c>
      <c r="B3" s="69" t="s">
        <v>25</v>
      </c>
      <c r="C3" s="1" t="s">
        <v>23</v>
      </c>
      <c r="D3" s="70">
        <v>3.795880017344075</v>
      </c>
    </row>
    <row r="4" spans="1:4" ht="15.75" customHeight="1">
      <c r="A4" s="46">
        <v>1</v>
      </c>
      <c r="B4" s="69" t="s">
        <v>26</v>
      </c>
      <c r="C4" s="1" t="s">
        <v>23</v>
      </c>
      <c r="D4" s="70">
        <v>4.4771212547196626</v>
      </c>
    </row>
    <row r="5" spans="1:4" ht="15.75" customHeight="1">
      <c r="A5" s="38">
        <v>2</v>
      </c>
      <c r="B5" s="1" t="s">
        <v>22</v>
      </c>
      <c r="C5" s="1" t="s">
        <v>23</v>
      </c>
      <c r="D5" s="70">
        <v>3.9164539485499246</v>
      </c>
    </row>
    <row r="6" spans="1:4" ht="15.75" customHeight="1">
      <c r="A6" s="38">
        <v>2</v>
      </c>
      <c r="B6" s="1" t="s">
        <v>25</v>
      </c>
      <c r="C6" s="1" t="s">
        <v>23</v>
      </c>
      <c r="D6" s="70">
        <v>3.6283889300503116</v>
      </c>
    </row>
    <row r="7" spans="1:4" ht="15.75" customHeight="1">
      <c r="A7" s="60">
        <v>2</v>
      </c>
      <c r="B7" s="1" t="s">
        <v>26</v>
      </c>
      <c r="C7" s="1" t="s">
        <v>23</v>
      </c>
      <c r="D7" s="70">
        <v>4.1760912590556813</v>
      </c>
    </row>
    <row r="8" spans="1:4" ht="15.75" customHeight="1">
      <c r="A8" s="46">
        <v>3</v>
      </c>
      <c r="B8" s="69" t="s">
        <v>22</v>
      </c>
      <c r="C8" s="1" t="s">
        <v>23</v>
      </c>
      <c r="D8" s="70">
        <v>3.3324384599156054</v>
      </c>
    </row>
    <row r="9" spans="1:4" ht="15.75" customHeight="1">
      <c r="A9" s="46">
        <v>3</v>
      </c>
      <c r="B9" s="69" t="s">
        <v>25</v>
      </c>
      <c r="C9" s="1" t="s">
        <v>23</v>
      </c>
      <c r="D9" s="70">
        <v>3.7201593034059566</v>
      </c>
    </row>
    <row r="10" spans="1:4" ht="15.75" customHeight="1">
      <c r="A10" s="46">
        <v>3</v>
      </c>
      <c r="B10" s="69" t="s">
        <v>26</v>
      </c>
      <c r="C10" s="1" t="s">
        <v>23</v>
      </c>
      <c r="D10" s="70">
        <v>4.6766936096248664</v>
      </c>
    </row>
    <row r="11" spans="1:4" ht="15.75" customHeight="1">
      <c r="A11" s="38">
        <v>4</v>
      </c>
      <c r="B11" s="1" t="s">
        <v>22</v>
      </c>
      <c r="C11" s="1" t="s">
        <v>23</v>
      </c>
      <c r="D11" s="70">
        <v>3.8750612633917001</v>
      </c>
    </row>
    <row r="12" spans="1:4" ht="15.75" customHeight="1">
      <c r="A12" s="38">
        <v>4</v>
      </c>
      <c r="B12" s="1" t="s">
        <v>25</v>
      </c>
      <c r="C12" s="1" t="s">
        <v>23</v>
      </c>
      <c r="D12">
        <v>3.2430380486862944</v>
      </c>
    </row>
    <row r="13" spans="1:4" ht="15.75" customHeight="1">
      <c r="A13" s="38">
        <v>4</v>
      </c>
      <c r="B13" s="1" t="s">
        <v>26</v>
      </c>
      <c r="C13" s="1" t="s">
        <v>23</v>
      </c>
      <c r="D13" s="70">
        <v>4.2730012720637376</v>
      </c>
    </row>
    <row r="14" spans="1:4" ht="15.75" customHeight="1">
      <c r="A14" s="46">
        <v>5</v>
      </c>
      <c r="B14" s="69" t="s">
        <v>22</v>
      </c>
      <c r="C14" s="1" t="s">
        <v>23</v>
      </c>
      <c r="D14" s="70">
        <v>3.1055101847699738</v>
      </c>
    </row>
    <row r="15" spans="1:4" ht="15.75" customHeight="1">
      <c r="A15" s="46">
        <v>5</v>
      </c>
      <c r="B15" s="69" t="s">
        <v>25</v>
      </c>
      <c r="C15" s="1" t="s">
        <v>23</v>
      </c>
      <c r="D15" s="70">
        <v>3.4393326938302624</v>
      </c>
    </row>
    <row r="16" spans="1:4" ht="15.75" customHeight="1">
      <c r="A16" s="46">
        <v>5</v>
      </c>
      <c r="B16" s="69" t="s">
        <v>26</v>
      </c>
      <c r="C16" s="1" t="s">
        <v>23</v>
      </c>
      <c r="D16" s="70">
        <v>4.2430380486862944</v>
      </c>
    </row>
    <row r="17" spans="1:4" ht="15.75" customHeight="1">
      <c r="A17" s="38">
        <v>6</v>
      </c>
      <c r="B17" s="1" t="s">
        <v>22</v>
      </c>
      <c r="C17" s="1" t="s">
        <v>23</v>
      </c>
      <c r="D17">
        <v>4.6766936096248664</v>
      </c>
    </row>
    <row r="18" spans="1:4" ht="15.75" customHeight="1">
      <c r="A18" s="38">
        <v>6</v>
      </c>
      <c r="B18" s="1" t="s">
        <v>25</v>
      </c>
      <c r="C18" s="1" t="s">
        <v>23</v>
      </c>
      <c r="D18">
        <v>4.6020599913279616</v>
      </c>
    </row>
    <row r="19" spans="1:4" ht="15.75" customHeight="1">
      <c r="A19" s="38">
        <v>6</v>
      </c>
      <c r="B19" s="1" t="s">
        <v>26</v>
      </c>
      <c r="C19" s="1" t="s">
        <v>23</v>
      </c>
      <c r="D19" s="70">
        <v>4.528273777167044</v>
      </c>
    </row>
    <row r="20" spans="1:4" ht="15.75" customHeight="1">
      <c r="A20" s="46">
        <v>7</v>
      </c>
      <c r="B20" s="69" t="s">
        <v>22</v>
      </c>
      <c r="C20" s="1" t="s">
        <v>23</v>
      </c>
      <c r="D20" s="70">
        <v>3.3010299956639813</v>
      </c>
    </row>
    <row r="21" spans="1:4" ht="15.75" customHeight="1">
      <c r="A21" s="46">
        <v>7</v>
      </c>
      <c r="B21" s="69" t="s">
        <v>25</v>
      </c>
      <c r="C21" s="1" t="s">
        <v>23</v>
      </c>
      <c r="D21">
        <v>2.7781512503836434</v>
      </c>
    </row>
    <row r="22" spans="1:4" ht="15.75" customHeight="1">
      <c r="A22" s="46">
        <v>7</v>
      </c>
      <c r="B22" s="69" t="s">
        <v>26</v>
      </c>
      <c r="C22" s="1" t="s">
        <v>23</v>
      </c>
      <c r="D22">
        <v>4.7149581097201496</v>
      </c>
    </row>
    <row r="23" spans="1:4" ht="15.75" customHeight="1">
      <c r="A23" s="38">
        <v>8</v>
      </c>
      <c r="B23" s="1" t="s">
        <v>22</v>
      </c>
      <c r="C23" s="1" t="s">
        <v>23</v>
      </c>
      <c r="D23" s="70">
        <v>3.3117538610557542</v>
      </c>
    </row>
    <row r="24" spans="1:4" ht="15.75" customHeight="1">
      <c r="A24" s="38">
        <v>8</v>
      </c>
      <c r="B24" s="1" t="s">
        <v>25</v>
      </c>
      <c r="C24" s="1" t="s">
        <v>23</v>
      </c>
      <c r="D24" s="70">
        <v>4</v>
      </c>
    </row>
    <row r="25" spans="1:4" ht="15.75" customHeight="1">
      <c r="A25" s="38">
        <v>8</v>
      </c>
      <c r="B25" s="1" t="s">
        <v>26</v>
      </c>
      <c r="C25" s="1" t="s">
        <v>23</v>
      </c>
      <c r="D25" s="70">
        <v>4.4948500216800946</v>
      </c>
    </row>
    <row r="26" spans="1:4" ht="15.75" customHeight="1">
      <c r="A26" s="46">
        <v>9</v>
      </c>
      <c r="B26" s="69" t="s">
        <v>22</v>
      </c>
      <c r="C26" s="1" t="s">
        <v>23</v>
      </c>
      <c r="D26" s="70">
        <v>3.3424226808222062</v>
      </c>
    </row>
    <row r="27" spans="1:4" ht="15.75" customHeight="1">
      <c r="A27" s="46">
        <v>9</v>
      </c>
      <c r="B27" s="69" t="s">
        <v>25</v>
      </c>
      <c r="C27" s="1" t="s">
        <v>23</v>
      </c>
      <c r="D27" s="70">
        <v>3.5440680443502757</v>
      </c>
    </row>
    <row r="28" spans="1:4" ht="15.75" customHeight="1">
      <c r="A28" s="46">
        <v>9</v>
      </c>
      <c r="B28" s="69" t="s">
        <v>26</v>
      </c>
      <c r="C28" s="1" t="s">
        <v>23</v>
      </c>
      <c r="D28" s="70">
        <v>4.2108533653148932</v>
      </c>
    </row>
    <row r="29" spans="1:4" ht="15.75" customHeight="1">
      <c r="A29" s="38">
        <v>10</v>
      </c>
      <c r="B29" s="1" t="s">
        <v>22</v>
      </c>
      <c r="C29" s="1" t="s">
        <v>23</v>
      </c>
      <c r="D29" s="70">
        <v>4.0314084642516237</v>
      </c>
    </row>
    <row r="30" spans="1:4" ht="15.75" customHeight="1">
      <c r="A30" s="38">
        <v>10</v>
      </c>
      <c r="B30" s="1" t="s">
        <v>25</v>
      </c>
      <c r="C30" s="1" t="s">
        <v>23</v>
      </c>
      <c r="D30" s="70">
        <v>4.0836817472743006</v>
      </c>
    </row>
    <row r="31" spans="1:4" ht="15.75" customHeight="1">
      <c r="A31" s="38">
        <v>10</v>
      </c>
      <c r="B31" s="1" t="s">
        <v>26</v>
      </c>
      <c r="C31" s="1" t="s">
        <v>23</v>
      </c>
      <c r="D31" s="70">
        <v>4.6154239528859442</v>
      </c>
    </row>
    <row r="32" spans="1:4" ht="15.75" customHeight="1">
      <c r="A32" s="46">
        <v>1</v>
      </c>
      <c r="B32" s="69" t="s">
        <v>22</v>
      </c>
      <c r="C32" s="1" t="s">
        <v>30</v>
      </c>
      <c r="D32" s="70">
        <v>4.3010299956639804</v>
      </c>
    </row>
    <row r="33" spans="1:4" ht="15.75" customHeight="1">
      <c r="A33" s="46">
        <v>1</v>
      </c>
      <c r="B33" s="69" t="s">
        <v>25</v>
      </c>
      <c r="C33" s="1" t="s">
        <v>30</v>
      </c>
      <c r="D33" s="70">
        <v>4.2730012720637376</v>
      </c>
    </row>
    <row r="34" spans="1:4" ht="15.75" customHeight="1">
      <c r="A34" s="46">
        <v>1</v>
      </c>
      <c r="B34" s="69" t="s">
        <v>26</v>
      </c>
      <c r="C34" s="1" t="s">
        <v>30</v>
      </c>
      <c r="D34" s="70">
        <v>4.5201558869448641</v>
      </c>
    </row>
    <row r="35" spans="1:4" ht="15.75" customHeight="1">
      <c r="A35" s="38">
        <v>2</v>
      </c>
      <c r="B35" s="1" t="s">
        <v>22</v>
      </c>
      <c r="C35" s="1" t="s">
        <v>30</v>
      </c>
      <c r="D35" s="70">
        <v>4.1383026981662816</v>
      </c>
    </row>
    <row r="36" spans="1:4" ht="15.75" customHeight="1">
      <c r="A36" s="38">
        <v>2</v>
      </c>
      <c r="B36" s="1" t="s">
        <v>25</v>
      </c>
      <c r="C36" s="1" t="s">
        <v>30</v>
      </c>
      <c r="D36">
        <v>3.8750612633917001</v>
      </c>
    </row>
    <row r="37" spans="1:4" ht="15.75" customHeight="1">
      <c r="A37" s="38">
        <v>2</v>
      </c>
      <c r="B37" s="1" t="s">
        <v>26</v>
      </c>
      <c r="C37" s="1" t="s">
        <v>30</v>
      </c>
      <c r="D37">
        <v>3.795880017344075</v>
      </c>
    </row>
    <row r="38" spans="1:4" ht="15.75" customHeight="1">
      <c r="A38" s="46">
        <v>3</v>
      </c>
      <c r="B38" s="69" t="s">
        <v>22</v>
      </c>
      <c r="C38" s="1" t="s">
        <v>30</v>
      </c>
      <c r="D38">
        <v>3.9098233696509119</v>
      </c>
    </row>
    <row r="39" spans="1:4" ht="15.75" customHeight="1">
      <c r="A39" s="46">
        <v>3</v>
      </c>
      <c r="B39" s="69" t="s">
        <v>25</v>
      </c>
      <c r="C39" s="1" t="s">
        <v>30</v>
      </c>
      <c r="D39" s="70">
        <v>4.2730012720637376</v>
      </c>
    </row>
    <row r="40" spans="1:4" ht="15.75" customHeight="1">
      <c r="A40" s="46">
        <v>3</v>
      </c>
      <c r="B40" s="69" t="s">
        <v>26</v>
      </c>
      <c r="C40" s="1" t="s">
        <v>30</v>
      </c>
      <c r="D40" s="70">
        <v>4.7871060930365692</v>
      </c>
    </row>
    <row r="41" spans="1:4" ht="15.75" customHeight="1">
      <c r="A41" s="38">
        <v>4</v>
      </c>
      <c r="B41" s="1" t="s">
        <v>22</v>
      </c>
      <c r="C41" s="1" t="s">
        <v>30</v>
      </c>
      <c r="D41">
        <v>4.1760912590556813</v>
      </c>
    </row>
    <row r="42" spans="1:4" ht="15.75" customHeight="1">
      <c r="A42" s="38">
        <v>4</v>
      </c>
      <c r="B42" s="1" t="s">
        <v>25</v>
      </c>
      <c r="C42" s="1" t="s">
        <v>30</v>
      </c>
      <c r="D42">
        <v>4.7303784685876424</v>
      </c>
    </row>
    <row r="43" spans="1:4" ht="15.75" customHeight="1">
      <c r="A43" s="38">
        <v>4</v>
      </c>
      <c r="B43" s="1" t="s">
        <v>26</v>
      </c>
      <c r="C43" s="1" t="s">
        <v>30</v>
      </c>
      <c r="D43">
        <v>4.8044801891059921</v>
      </c>
    </row>
    <row r="44" spans="1:4" ht="15.75" customHeight="1">
      <c r="A44" s="46">
        <v>5</v>
      </c>
      <c r="B44" s="69" t="s">
        <v>22</v>
      </c>
      <c r="C44" s="1" t="s">
        <v>30</v>
      </c>
      <c r="D44">
        <v>4.3756636139608851</v>
      </c>
    </row>
    <row r="45" spans="1:4" ht="15.75" customHeight="1">
      <c r="A45" s="46">
        <v>5</v>
      </c>
      <c r="B45" s="69" t="s">
        <v>25</v>
      </c>
      <c r="C45" s="1" t="s">
        <v>30</v>
      </c>
      <c r="D45">
        <v>4.7149581097201496</v>
      </c>
    </row>
    <row r="46" spans="1:4" ht="15.75" customHeight="1">
      <c r="A46" s="46">
        <v>5</v>
      </c>
      <c r="B46" s="69" t="s">
        <v>26</v>
      </c>
      <c r="C46" s="1" t="s">
        <v>30</v>
      </c>
      <c r="D46" s="70">
        <v>4.0107238653917729</v>
      </c>
    </row>
    <row r="47" spans="1:4" ht="15.75" customHeight="1">
      <c r="A47" s="38">
        <v>6</v>
      </c>
      <c r="B47" s="1" t="s">
        <v>22</v>
      </c>
      <c r="C47" s="1" t="s">
        <v>30</v>
      </c>
      <c r="D47" s="70">
        <v>4.9098233696509119</v>
      </c>
    </row>
    <row r="48" spans="1:4" ht="15.75" customHeight="1">
      <c r="A48" s="38">
        <v>6</v>
      </c>
      <c r="B48" s="1" t="s">
        <v>25</v>
      </c>
      <c r="C48" s="1" t="s">
        <v>30</v>
      </c>
      <c r="D48" s="70">
        <v>4.5740312677277188</v>
      </c>
    </row>
    <row r="49" spans="1:4" ht="15.75" customHeight="1">
      <c r="A49" s="38">
        <v>6</v>
      </c>
      <c r="B49" s="1" t="s">
        <v>26</v>
      </c>
      <c r="C49" s="1" t="s">
        <v>30</v>
      </c>
      <c r="D49">
        <v>4.4948500216800946</v>
      </c>
    </row>
    <row r="50" spans="1:4" ht="15.75" customHeight="1">
      <c r="A50" s="46">
        <v>7</v>
      </c>
      <c r="B50" s="69" t="s">
        <v>22</v>
      </c>
      <c r="C50" s="1" t="s">
        <v>30</v>
      </c>
      <c r="D50">
        <v>4.2430380486862944</v>
      </c>
    </row>
    <row r="51" spans="1:4" ht="15.75" customHeight="1">
      <c r="A51" s="46">
        <v>7</v>
      </c>
      <c r="B51" s="69" t="s">
        <v>25</v>
      </c>
      <c r="C51" s="1" t="s">
        <v>30</v>
      </c>
      <c r="D51">
        <v>4.1383026981662816</v>
      </c>
    </row>
    <row r="52" spans="1:4" ht="15.75" customHeight="1">
      <c r="A52" s="46">
        <v>7</v>
      </c>
      <c r="B52" s="69" t="s">
        <v>26</v>
      </c>
      <c r="C52" s="1" t="s">
        <v>30</v>
      </c>
      <c r="D52">
        <v>4.7403626894942432</v>
      </c>
    </row>
    <row r="53" spans="1:4" ht="15.75" customHeight="1">
      <c r="A53" s="38">
        <v>8</v>
      </c>
      <c r="B53" s="1" t="s">
        <v>22</v>
      </c>
      <c r="C53" s="1" t="s">
        <v>30</v>
      </c>
      <c r="D53">
        <v>3.9542425094393248</v>
      </c>
    </row>
    <row r="54" spans="1:4" ht="15.75" customHeight="1">
      <c r="A54" s="38">
        <v>8</v>
      </c>
      <c r="B54" s="1" t="s">
        <v>25</v>
      </c>
      <c r="C54" s="1" t="s">
        <v>30</v>
      </c>
      <c r="D54">
        <v>3.9294189257142929</v>
      </c>
    </row>
    <row r="55" spans="1:4" ht="15.75" customHeight="1">
      <c r="A55" s="38">
        <v>8</v>
      </c>
      <c r="B55" s="1" t="s">
        <v>26</v>
      </c>
      <c r="C55" s="1" t="s">
        <v>30</v>
      </c>
      <c r="D55">
        <v>4.8372727025023003</v>
      </c>
    </row>
    <row r="56" spans="1:4" ht="15.75" customHeight="1">
      <c r="A56" s="46">
        <v>9</v>
      </c>
      <c r="B56" s="69" t="s">
        <v>22</v>
      </c>
      <c r="C56" s="1" t="s">
        <v>30</v>
      </c>
      <c r="D56">
        <v>4.0791812460476242</v>
      </c>
    </row>
    <row r="57" spans="1:4" ht="15.75" customHeight="1">
      <c r="A57" s="46">
        <v>9</v>
      </c>
      <c r="B57" s="69" t="s">
        <v>25</v>
      </c>
      <c r="C57" s="1" t="s">
        <v>30</v>
      </c>
      <c r="D57" s="70">
        <v>4.3010299956639804</v>
      </c>
    </row>
    <row r="58" spans="1:4" ht="15.75" customHeight="1">
      <c r="A58" s="46">
        <v>9</v>
      </c>
      <c r="B58" s="69" t="s">
        <v>26</v>
      </c>
      <c r="C58" s="1" t="s">
        <v>30</v>
      </c>
      <c r="D58" s="70">
        <v>4.3756636139608851</v>
      </c>
    </row>
    <row r="59" spans="1:4" ht="15.75" customHeight="1">
      <c r="A59" s="38">
        <v>10</v>
      </c>
      <c r="B59" s="1" t="s">
        <v>22</v>
      </c>
      <c r="C59" s="1" t="s">
        <v>30</v>
      </c>
      <c r="D59" s="70">
        <v>4.5882717068423284</v>
      </c>
    </row>
    <row r="60" spans="1:4" ht="15.75" customHeight="1">
      <c r="A60" s="38">
        <v>10</v>
      </c>
      <c r="B60" s="1" t="s">
        <v>25</v>
      </c>
      <c r="C60" s="1" t="s">
        <v>30</v>
      </c>
      <c r="D60" s="70">
        <v>4.2430380486862944</v>
      </c>
    </row>
    <row r="61" spans="1:4" ht="15.75" customHeight="1">
      <c r="A61" s="38">
        <v>10</v>
      </c>
      <c r="B61" s="1" t="s">
        <v>26</v>
      </c>
      <c r="C61" s="1" t="s">
        <v>30</v>
      </c>
      <c r="D61">
        <v>4.4586378490256493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Raw Counts</vt:lpstr>
      <vt:lpstr>Grey to read</vt:lpstr>
      <vt:lpstr>Select</vt:lpstr>
      <vt:lpstr>Spleen Log Calculation</vt:lpstr>
      <vt:lpstr>Lung Log Calculation</vt:lpstr>
      <vt:lpstr>Import for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2020-07-14T21:41:41Z</dcterms:modified>
</cp:coreProperties>
</file>